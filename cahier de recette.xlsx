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de Garde" sheetId="1" state="visible" r:id="rId1"/>
    <sheet xmlns:r="http://schemas.openxmlformats.org/officeDocument/2006/relationships" name="Critères d'Acceptation" sheetId="2" state="visible" r:id="rId2"/>
    <sheet xmlns:r="http://schemas.openxmlformats.org/officeDocument/2006/relationships" name="Tests Fonctionnels" sheetId="3" state="visible" r:id="rId3"/>
    <sheet xmlns:r="http://schemas.openxmlformats.org/officeDocument/2006/relationships" name="Tests d'Intégration" sheetId="4" state="visible" r:id="rId4"/>
    <sheet xmlns:r="http://schemas.openxmlformats.org/officeDocument/2006/relationships" name="Tests de Sécurité" sheetId="5" state="visible" r:id="rId5"/>
    <sheet xmlns:r="http://schemas.openxmlformats.org/officeDocument/2006/relationships" name="Tests de Performance" sheetId="6" state="visible" r:id="rId6"/>
    <sheet xmlns:r="http://schemas.openxmlformats.org/officeDocument/2006/relationships" name="Synthèse &amp;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C1A1A"/>
      <sz val="18"/>
    </font>
    <font>
      <name val="Arial"/>
      <b val="1"/>
      <color rgb="002C1A1A"/>
      <sz val="12"/>
    </font>
    <font>
      <name val="Arial"/>
      <b val="1"/>
      <color rgb="002C1A1A"/>
      <sz val="9"/>
    </font>
    <font>
      <name val="Arial"/>
      <color rgb="002C1A1A"/>
      <sz val="9"/>
    </font>
    <font>
      <name val="Arial"/>
      <b val="1"/>
      <color rgb="002C1A1A"/>
      <sz val="10"/>
    </font>
  </fonts>
  <fills count="6">
    <fill>
      <patternFill/>
    </fill>
    <fill>
      <patternFill patternType="gray125"/>
    </fill>
    <fill>
      <patternFill patternType="solid">
        <fgColor rgb="00E8A0A0"/>
      </patternFill>
    </fill>
    <fill>
      <patternFill patternType="solid">
        <fgColor rgb="00F5C6C6"/>
      </patternFill>
    </fill>
    <fill>
      <patternFill patternType="solid">
        <fgColor rgb="00EDBBBB"/>
      </patternFill>
    </fill>
    <fill>
      <patternFill patternType="solid">
        <fgColor rgb="00F9D9D9"/>
      </patternFill>
    </fill>
  </fills>
  <borders count="2">
    <border>
      <left/>
      <right/>
      <top/>
      <bottom/>
      <diagonal/>
    </border>
    <border>
      <left style="thin">
        <color rgb="00CC8080"/>
      </left>
      <right style="thin">
        <color rgb="00CC8080"/>
      </right>
      <top style="thin">
        <color rgb="00CC8080"/>
      </top>
      <bottom style="thin">
        <color rgb="00CC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40" customHeight="1">
      <c r="A1" s="1" t="inlineStr">
        <is>
          <t>CAHIER DE RECETTE</t>
        </is>
      </c>
    </row>
    <row r="2" ht="25" customHeight="1">
      <c r="A2" s="2" t="inlineStr">
        <is>
          <t>Système de Contrôle d'Accès Intelligent - CERBÈRE</t>
        </is>
      </c>
    </row>
    <row r="3" ht="22" customHeight="1">
      <c r="A3" s="3" t="inlineStr">
        <is>
          <t>Établissement</t>
        </is>
      </c>
      <c r="B3" s="4" t="inlineStr">
        <is>
          <t>Lycée Joseph Gaillard - Fort-de-France</t>
        </is>
      </c>
    </row>
    <row r="4" ht="22" customHeight="1">
      <c r="A4" s="3" t="inlineStr">
        <is>
          <t>Formation</t>
        </is>
      </c>
      <c r="B4" s="5" t="inlineStr">
        <is>
          <t>BTS CIEL Option IR - Session 2026</t>
        </is>
      </c>
    </row>
    <row r="5" ht="22" customHeight="1">
      <c r="A5" s="3" t="inlineStr">
        <is>
          <t>Équipe projet</t>
        </is>
      </c>
      <c r="B5" s="4" t="inlineStr">
        <is>
          <t>4 étudiants</t>
        </is>
      </c>
    </row>
    <row r="6" ht="22" customHeight="1">
      <c r="A6" s="3" t="inlineStr">
        <is>
          <t>Encadrants</t>
        </is>
      </c>
      <c r="B6" s="5" t="inlineStr">
        <is>
          <t>Mr Philippe Ravion, Mme Myriam Symphor</t>
        </is>
      </c>
    </row>
    <row r="7" ht="22" customHeight="1">
      <c r="A7" s="3" t="inlineStr">
        <is>
          <t>Version</t>
        </is>
      </c>
      <c r="B7" s="4" t="inlineStr">
        <is>
          <t>1.0 - Janvier 2026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2" customWidth="1" min="3" max="3"/>
    <col width="32" customWidth="1" min="4" max="4"/>
    <col width="18" customWidth="1" min="5" max="5"/>
  </cols>
  <sheetData>
    <row r="1" ht="28" customHeight="1">
      <c r="A1" s="6" t="inlineStr">
        <is>
          <t>Catégorie</t>
        </is>
      </c>
      <c r="B1" s="6" t="inlineStr">
        <is>
          <t>Critère</t>
        </is>
      </c>
      <c r="C1" s="6" t="inlineStr">
        <is>
          <t>Seuil d'acceptation</t>
        </is>
      </c>
      <c r="D1" s="6" t="inlineStr">
        <is>
          <t>Résultat obtenu</t>
        </is>
      </c>
      <c r="E1" s="6" t="inlineStr">
        <is>
          <t>Statut</t>
        </is>
      </c>
    </row>
    <row r="2" ht="22" customHeight="1">
      <c r="A2" s="3" t="inlineStr">
        <is>
          <t>Tests fonctionnels</t>
        </is>
      </c>
      <c r="B2" s="5" t="inlineStr">
        <is>
          <t>Taux de réussite tests fonctionnels</t>
        </is>
      </c>
      <c r="C2" s="5" t="inlineStr">
        <is>
          <t>≥ 95%</t>
        </is>
      </c>
      <c r="D2" s="5" t="inlineStr"/>
      <c r="E2" s="7" t="inlineStr">
        <is>
          <t>À tester</t>
        </is>
      </c>
    </row>
    <row r="3" ht="22" customHeight="1">
      <c r="A3" s="3" t="inlineStr">
        <is>
          <t>Tests d'intégration</t>
        </is>
      </c>
      <c r="B3" s="4" t="inlineStr">
        <is>
          <t>Taux de réussite tests d'intégration</t>
        </is>
      </c>
      <c r="C3" s="4" t="inlineStr">
        <is>
          <t>100%</t>
        </is>
      </c>
      <c r="D3" s="4" t="inlineStr"/>
      <c r="E3" s="8" t="inlineStr">
        <is>
          <t>À tester</t>
        </is>
      </c>
    </row>
    <row r="4" ht="22" customHeight="1">
      <c r="A4" s="3" t="inlineStr">
        <is>
          <t>Performance</t>
        </is>
      </c>
      <c r="B4" s="5" t="inlineStr">
        <is>
          <t>Temps de réponse système</t>
        </is>
      </c>
      <c r="C4" s="5" t="inlineStr">
        <is>
          <t>&lt; 2 secondes</t>
        </is>
      </c>
      <c r="D4" s="5" t="inlineStr"/>
      <c r="E4" s="7" t="inlineStr">
        <is>
          <t>À tester</t>
        </is>
      </c>
    </row>
    <row r="5" ht="22" customHeight="1">
      <c r="A5" s="3" t="inlineStr">
        <is>
          <t>Porte 1 - PIR</t>
        </is>
      </c>
      <c r="B5" s="4" t="inlineStr">
        <is>
          <t>Taux de faux positifs PIR</t>
        </is>
      </c>
      <c r="C5" s="4" t="inlineStr">
        <is>
          <t>&lt; 5%</t>
        </is>
      </c>
      <c r="D5" s="4" t="inlineStr"/>
      <c r="E5" s="8" t="inlineStr">
        <is>
          <t>À tester</t>
        </is>
      </c>
    </row>
    <row r="6" ht="22" customHeight="1">
      <c r="A6" s="3" t="inlineStr">
        <is>
          <t>Porte 2 - RFID</t>
        </is>
      </c>
      <c r="B6" s="5" t="inlineStr">
        <is>
          <t>Taux de lecture badges RFID</t>
        </is>
      </c>
      <c r="C6" s="5" t="inlineStr">
        <is>
          <t>≥ 98%</t>
        </is>
      </c>
      <c r="D6" s="5" t="inlineStr"/>
      <c r="E6" s="7" t="inlineStr">
        <is>
          <t>À tester</t>
        </is>
      </c>
    </row>
    <row r="7" ht="22" customHeight="1">
      <c r="A7" s="3" t="inlineStr">
        <is>
          <t>Infrastructure</t>
        </is>
      </c>
      <c r="B7" s="4" t="inlineStr">
        <is>
          <t>Disponibilité système</t>
        </is>
      </c>
      <c r="C7" s="4" t="inlineStr">
        <is>
          <t>≥ 99% sur 48h</t>
        </is>
      </c>
      <c r="D7" s="4" t="inlineStr"/>
      <c r="E7" s="8" t="inlineStr">
        <is>
          <t>À tester</t>
        </is>
      </c>
    </row>
    <row r="8" ht="22" customHeight="1">
      <c r="A8" s="3" t="inlineStr">
        <is>
          <t>Budget</t>
        </is>
      </c>
      <c r="B8" s="5" t="inlineStr">
        <is>
          <t>Respect budget matériel</t>
        </is>
      </c>
      <c r="C8" s="5" t="inlineStr">
        <is>
          <t>≤ 500 €</t>
        </is>
      </c>
      <c r="D8" s="5" t="inlineStr"/>
      <c r="E8" s="7" t="inlineStr">
        <is>
          <t>À tester</t>
        </is>
      </c>
    </row>
    <row r="9" ht="22" customHeight="1">
      <c r="A9" s="3" t="inlineStr">
        <is>
          <t>Sécurité</t>
        </is>
      </c>
      <c r="B9" s="4" t="inlineStr">
        <is>
          <t>Conformité sécurité</t>
        </is>
      </c>
      <c r="C9" s="4" t="inlineStr">
        <is>
          <t>Aucune faille critique</t>
        </is>
      </c>
      <c r="D9" s="4" t="inlineStr"/>
      <c r="E9" s="8" t="inlineStr">
        <is>
          <t>À tester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18" customWidth="1" min="5" max="5"/>
  </cols>
  <sheetData>
    <row r="1" ht="28" customHeight="1">
      <c r="A1" s="6" t="inlineStr">
        <is>
          <t>Catégorie</t>
        </is>
      </c>
      <c r="B1" s="6" t="inlineStr">
        <is>
          <t>Éléments testés</t>
        </is>
      </c>
      <c r="C1" s="6" t="inlineStr">
        <is>
          <t>Critères de réussite</t>
        </is>
      </c>
      <c r="D1" s="6" t="inlineStr">
        <is>
          <t>Résultat attendu</t>
        </is>
      </c>
      <c r="E1" s="6" t="inlineStr">
        <is>
          <t>Statut</t>
        </is>
      </c>
    </row>
    <row r="2" ht="42" customHeight="1">
      <c r="A2" s="3" t="inlineStr">
        <is>
          <t>Porte 1 - Détection PIR</t>
        </is>
      </c>
      <c r="B2" s="5" t="inlineStr">
        <is>
          <t>Capteur HC-SR501, GPIO Raspberry Pi 1, Zone de détection</t>
        </is>
      </c>
      <c r="C2" s="5" t="inlineStr">
        <is>
          <t>Le capteur détecte toute présence dans la zone définie (2-7m)</t>
        </is>
      </c>
      <c r="D2" s="5" t="inlineStr">
        <is>
          <t>Déclenchement sonnette en &lt; 1 sec, log enregistré en base</t>
        </is>
      </c>
      <c r="E2" s="7" t="inlineStr">
        <is>
          <t>À tester</t>
        </is>
      </c>
    </row>
    <row r="3" ht="42" customHeight="1">
      <c r="A3" s="3" t="inlineStr">
        <is>
          <t>Porte 1 - Alerte sortie</t>
        </is>
      </c>
      <c r="B3" s="4" t="inlineStr">
        <is>
          <t>Ventouse magnétique 12V, système d'alerte sonore</t>
        </is>
      </c>
      <c r="C3" s="4" t="inlineStr">
        <is>
          <t>Alerte déclenchée si sortie non autorisée détectée</t>
        </is>
      </c>
      <c r="D3" s="4" t="inlineStr">
        <is>
          <t>Notification administrateur + log d'incident créé</t>
        </is>
      </c>
      <c r="E3" s="8" t="inlineStr">
        <is>
          <t>À tester</t>
        </is>
      </c>
    </row>
    <row r="4" ht="42" customHeight="1">
      <c r="A4" s="3" t="inlineStr">
        <is>
          <t>Porte 2 - Lecture RFID</t>
        </is>
      </c>
      <c r="B4" s="5" t="inlineStr">
        <is>
          <t>Module RC522, badges Mifare 13.56 MHz</t>
        </is>
      </c>
      <c r="C4" s="5" t="inlineStr">
        <is>
          <t>Badge reconnu et identifié correctement en &lt; 500ms</t>
        </is>
      </c>
      <c r="D4" s="5" t="inlineStr">
        <is>
          <t>Accès autorisé ou refusé selon droits utilisateur</t>
        </is>
      </c>
      <c r="E4" s="7" t="inlineStr">
        <is>
          <t>À tester</t>
        </is>
      </c>
    </row>
    <row r="5" ht="42" customHeight="1">
      <c r="A5" s="3" t="inlineStr">
        <is>
          <t>Porte 2 - Commande gâche</t>
        </is>
      </c>
      <c r="B5" s="4" t="inlineStr">
        <is>
          <t>Gâche électrique 12V, relais GPIO</t>
        </is>
      </c>
      <c r="C5" s="4" t="inlineStr">
        <is>
          <t>La gâche s'active uniquement après badge valide</t>
        </is>
      </c>
      <c r="D5" s="4" t="inlineStr">
        <is>
          <t>Ouverture porte pendant 3 sec, log accès enregistré</t>
        </is>
      </c>
      <c r="E5" s="8" t="inlineStr">
        <is>
          <t>À tester</t>
        </is>
      </c>
    </row>
    <row r="6" ht="42" customHeight="1">
      <c r="A6" s="3" t="inlineStr">
        <is>
          <t>Porte 2 - Caméra</t>
        </is>
      </c>
      <c r="B6" s="5" t="inlineStr">
        <is>
          <t>Module caméra Raspberry Pi</t>
        </is>
      </c>
      <c r="C6" s="5" t="inlineStr">
        <is>
          <t>Capture image à chaque tentative d'accès</t>
        </is>
      </c>
      <c r="D6" s="5" t="inlineStr">
        <is>
          <t>Image horodatée stockée et liée à l'événement d'accès</t>
        </is>
      </c>
      <c r="E6" s="7" t="inlineStr">
        <is>
          <t>À tester</t>
        </is>
      </c>
    </row>
    <row r="7" ht="42" customHeight="1">
      <c r="A7" s="3" t="inlineStr">
        <is>
          <t>Base de données</t>
        </is>
      </c>
      <c r="B7" s="4" t="inlineStr">
        <is>
          <t>MySQL 8.0, tables accès, badges, utilisateurs</t>
        </is>
      </c>
      <c r="C7" s="4" t="inlineStr">
        <is>
          <t>Toutes les données sont correctement enregistrées</t>
        </is>
      </c>
      <c r="D7" s="4" t="inlineStr">
        <is>
          <t>Historique complet et fiable de tous les accès</t>
        </is>
      </c>
      <c r="E7" s="8" t="inlineStr">
        <is>
          <t>À tester</t>
        </is>
      </c>
    </row>
    <row r="8" ht="42" customHeight="1">
      <c r="A8" s="3" t="inlineStr">
        <is>
          <t>Interface web admin</t>
        </is>
      </c>
      <c r="B8" s="5" t="inlineStr">
        <is>
          <t>Dashboard HTML5/CSS3/JS, API REST PHP 8.1</t>
        </is>
      </c>
      <c r="C8" s="5" t="inlineStr">
        <is>
          <t>Interface accessible et fonctionnelle sur réseau local</t>
        </is>
      </c>
      <c r="D8" s="5" t="inlineStr">
        <is>
          <t>Admin peut consulter logs, gérer badges et utilisateurs</t>
        </is>
      </c>
      <c r="E8" s="7" t="inlineStr">
        <is>
          <t>À tester</t>
        </is>
      </c>
    </row>
    <row r="9" ht="42" customHeight="1">
      <c r="A9" s="3" t="inlineStr">
        <is>
          <t>Authentification</t>
        </is>
      </c>
      <c r="B9" s="4" t="inlineStr">
        <is>
          <t>JWT tokens, bcrypt hashing, sessions sécurisées</t>
        </is>
      </c>
      <c r="C9" s="4" t="inlineStr">
        <is>
          <t>Seuls les administrateurs autorisés accèdent à l'interface</t>
        </is>
      </c>
      <c r="D9" s="4" t="inlineStr">
        <is>
          <t>Connexion sécurisée, déconnexion automatique après 30 min</t>
        </is>
      </c>
      <c r="E9" s="8" t="inlineStr">
        <is>
          <t>À tester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18" customWidth="1" min="5" max="5"/>
  </cols>
  <sheetData>
    <row r="1" ht="28" customHeight="1">
      <c r="A1" s="6" t="inlineStr">
        <is>
          <t>Catégorie</t>
        </is>
      </c>
      <c r="B1" s="6" t="inlineStr">
        <is>
          <t>Éléments testés</t>
        </is>
      </c>
      <c r="C1" s="6" t="inlineStr">
        <is>
          <t>Critères de réussite</t>
        </is>
      </c>
      <c r="D1" s="6" t="inlineStr">
        <is>
          <t>Résultat attendu</t>
        </is>
      </c>
      <c r="E1" s="6" t="inlineStr">
        <is>
          <t>Statut</t>
        </is>
      </c>
    </row>
    <row r="2" ht="42" customHeight="1">
      <c r="A2" s="3" t="inlineStr">
        <is>
          <t>Réseau local</t>
        </is>
      </c>
      <c r="B2" s="5" t="inlineStr">
        <is>
          <t>Switch réseau, IP 192.168.1.x/24, communication RPi</t>
        </is>
      </c>
      <c r="C2" s="5" t="inlineStr">
        <is>
          <t>Les 3 Raspberry Pi communiquent sans interruption</t>
        </is>
      </c>
      <c r="D2" s="5" t="inlineStr">
        <is>
          <t>Ping &lt; 5ms entre tous les nœuds, aucune perte de paquet</t>
        </is>
      </c>
      <c r="E2" s="7" t="inlineStr">
        <is>
          <t>À tester</t>
        </is>
      </c>
    </row>
    <row r="3" ht="42" customHeight="1">
      <c r="A3" s="3" t="inlineStr">
        <is>
          <t>Communication MQTT</t>
        </is>
      </c>
      <c r="B3" s="4" t="inlineStr">
        <is>
          <t>Broker MQTT, topics /porte1, /porte2, /alertes</t>
        </is>
      </c>
      <c r="C3" s="4" t="inlineStr">
        <is>
          <t>Messages MQTT transmis en temps réel entre RPi</t>
        </is>
      </c>
      <c r="D3" s="4" t="inlineStr">
        <is>
          <t>Latence &lt; 100ms, aucun message perdu</t>
        </is>
      </c>
      <c r="E3" s="8" t="inlineStr">
        <is>
          <t>À tester</t>
        </is>
      </c>
    </row>
    <row r="4" ht="42" customHeight="1">
      <c r="A4" s="3" t="inlineStr">
        <is>
          <t>RPi1 → Base de données</t>
        </is>
      </c>
      <c r="B4" s="5" t="inlineStr">
        <is>
          <t>RPi1 (192.168.1.10) vers RPi3 (192.168.1.30)</t>
        </is>
      </c>
      <c r="C4" s="5" t="inlineStr">
        <is>
          <t>Logs PIR et alertes enregistrés en base</t>
        </is>
      </c>
      <c r="D4" s="5" t="inlineStr">
        <is>
          <t>Données visibles dans interface admin immédiatement</t>
        </is>
      </c>
      <c r="E4" s="7" t="inlineStr">
        <is>
          <t>À tester</t>
        </is>
      </c>
    </row>
    <row r="5" ht="42" customHeight="1">
      <c r="A5" s="3" t="inlineStr">
        <is>
          <t>RPi2 → Base de données</t>
        </is>
      </c>
      <c r="B5" s="4" t="inlineStr">
        <is>
          <t>RPi2 (192.168.1.20) vers RPi3 (192.168.1.30)</t>
        </is>
      </c>
      <c r="C5" s="4" t="inlineStr">
        <is>
          <t>Logs RFID et accès enregistrés en base</t>
        </is>
      </c>
      <c r="D5" s="4" t="inlineStr">
        <is>
          <t>Historique RFID complet et cohérent</t>
        </is>
      </c>
      <c r="E5" s="8" t="inlineStr">
        <is>
          <t>À tester</t>
        </is>
      </c>
    </row>
    <row r="6" ht="42" customHeight="1">
      <c r="A6" s="3" t="inlineStr">
        <is>
          <t>Interface web → BDD</t>
        </is>
      </c>
      <c r="B6" s="5" t="inlineStr">
        <is>
          <t>Apache 2.4, PHP 8.1, MySQL 8.0 sur RPi3</t>
        </is>
      </c>
      <c r="C6" s="5" t="inlineStr">
        <is>
          <t>L'interface web affiche les données en temps réel</t>
        </is>
      </c>
      <c r="D6" s="5" t="inlineStr">
        <is>
          <t>Mise à jour dashboard &lt; 5 sec après événement</t>
        </is>
      </c>
      <c r="E6" s="7" t="inlineStr">
        <is>
          <t>À tester</t>
        </is>
      </c>
    </row>
    <row r="7" ht="42" customHeight="1">
      <c r="A7" s="3" t="inlineStr">
        <is>
          <t>Scénario complet Porte 1</t>
        </is>
      </c>
      <c r="B7" s="4" t="inlineStr">
        <is>
          <t>PIR → sonnette → log → alerte → interface admin</t>
        </is>
      </c>
      <c r="C7" s="4" t="inlineStr">
        <is>
          <t>Chaîne complète fonctionnelle de bout en bout</t>
        </is>
      </c>
      <c r="D7" s="4" t="inlineStr">
        <is>
          <t>Événement visible dans interface &lt; 2 sec</t>
        </is>
      </c>
      <c r="E7" s="8" t="inlineStr">
        <is>
          <t>À tester</t>
        </is>
      </c>
    </row>
    <row r="8" ht="42" customHeight="1">
      <c r="A8" s="3" t="inlineStr">
        <is>
          <t>Scénario complet Porte 2</t>
        </is>
      </c>
      <c r="B8" s="5" t="inlineStr">
        <is>
          <t>Badge RFID → vérification BDD → gâche → log → capture</t>
        </is>
      </c>
      <c r="C8" s="5" t="inlineStr">
        <is>
          <t>Chaîne complète fonctionnelle de bout en bout</t>
        </is>
      </c>
      <c r="D8" s="5" t="inlineStr">
        <is>
          <t>Accès accordé/refusé + log + image en &lt; 1 sec</t>
        </is>
      </c>
      <c r="E8" s="7" t="inlineStr">
        <is>
          <t>À tester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18" customWidth="1" min="5" max="5"/>
  </cols>
  <sheetData>
    <row r="1" ht="28" customHeight="1">
      <c r="A1" s="6" t="inlineStr">
        <is>
          <t>Catégorie</t>
        </is>
      </c>
      <c r="B1" s="6" t="inlineStr">
        <is>
          <t>Éléments testés</t>
        </is>
      </c>
      <c r="C1" s="6" t="inlineStr">
        <is>
          <t>Critères de réussite</t>
        </is>
      </c>
      <c r="D1" s="6" t="inlineStr">
        <is>
          <t>Résultat attendu</t>
        </is>
      </c>
      <c r="E1" s="6" t="inlineStr">
        <is>
          <t>Statut</t>
        </is>
      </c>
    </row>
    <row r="2" ht="40" customHeight="1">
      <c r="A2" s="3" t="inlineStr">
        <is>
          <t>Authentification</t>
        </is>
      </c>
      <c r="B2" s="5" t="inlineStr">
        <is>
          <t>Comptes admin, bcrypt hashing, JWT tokens</t>
        </is>
      </c>
      <c r="C2" s="5" t="inlineStr">
        <is>
          <t>Connexion impossible avec identifiants invalides</t>
        </is>
      </c>
      <c r="D2" s="5" t="inlineStr">
        <is>
          <t>Accès refusé + log tentative d'intrusion enregistré</t>
        </is>
      </c>
      <c r="E2" s="7" t="inlineStr">
        <is>
          <t>À tester</t>
        </is>
      </c>
    </row>
    <row r="3" ht="40" customHeight="1">
      <c r="A3" s="3" t="inlineStr">
        <is>
          <t>Gestion des droits</t>
        </is>
      </c>
      <c r="B3" s="4" t="inlineStr">
        <is>
          <t>Rôles admin / personnel autorisé / responsable</t>
        </is>
      </c>
      <c r="C3" s="4" t="inlineStr">
        <is>
          <t>Chaque rôle n'accède qu'à ses fonctions autorisées</t>
        </is>
      </c>
      <c r="D3" s="4" t="inlineStr">
        <is>
          <t>Seules les personnes autorisées peuvent accéder aux données</t>
        </is>
      </c>
      <c r="E3" s="8" t="inlineStr">
        <is>
          <t>À tester</t>
        </is>
      </c>
    </row>
    <row r="4" ht="40" customHeight="1">
      <c r="A4" s="3" t="inlineStr">
        <is>
          <t>Protection base de données</t>
        </is>
      </c>
      <c r="B4" s="5" t="inlineStr">
        <is>
          <t>Comptes MySQL limités, requêtes préparées, chiffrement</t>
        </is>
      </c>
      <c r="C4" s="5" t="inlineStr">
        <is>
          <t>Aucune injection SQL possible, accès BDD restreint</t>
        </is>
      </c>
      <c r="D4" s="5" t="inlineStr">
        <is>
          <t>Données protégées et sauvegardées régulièrement</t>
        </is>
      </c>
      <c r="E4" s="7" t="inlineStr">
        <is>
          <t>À tester</t>
        </is>
      </c>
    </row>
    <row r="5" ht="40" customHeight="1">
      <c r="A5" s="3" t="inlineStr">
        <is>
          <t>Sécurité réseau</t>
        </is>
      </c>
      <c r="B5" s="4" t="inlineStr">
        <is>
          <t>Réseau local isolé, HTTPS, certificats</t>
        </is>
      </c>
      <c r="C5" s="4" t="inlineStr">
        <is>
          <t>Communications chiffrées, réseau non accessible de l'extérieur</t>
        </is>
      </c>
      <c r="D5" s="4" t="inlineStr">
        <is>
          <t>Confidentialité et intégrité des données garanties</t>
        </is>
      </c>
      <c r="E5" s="8" t="inlineStr">
        <is>
          <t>À tester</t>
        </is>
      </c>
    </row>
    <row r="6" ht="40" customHeight="1">
      <c r="A6" s="3" t="inlineStr">
        <is>
          <t>Conformité RGPD</t>
        </is>
      </c>
      <c r="B6" s="5" t="inlineStr">
        <is>
          <t>Logs d'accès, données personnelles, durée de rétention</t>
        </is>
      </c>
      <c r="C6" s="5" t="inlineStr">
        <is>
          <t>Données personnelles protégées conformément au RGPD</t>
        </is>
      </c>
      <c r="D6" s="5" t="inlineStr">
        <is>
          <t>Politique de rétention respectée, données anonymisées</t>
        </is>
      </c>
      <c r="E6" s="7" t="inlineStr">
        <is>
          <t>À tester</t>
        </is>
      </c>
    </row>
    <row r="7" ht="40" customHeight="1">
      <c r="A7" s="3" t="inlineStr">
        <is>
          <t>Badges RFID</t>
        </is>
      </c>
      <c r="B7" s="4" t="inlineStr">
        <is>
          <t>Codes badges, droits d'accès, révocation</t>
        </is>
      </c>
      <c r="C7" s="4" t="inlineStr">
        <is>
          <t>Badge révoqué ne donne plus accès immédiatement</t>
        </is>
      </c>
      <c r="D7" s="4" t="inlineStr">
        <is>
          <t>Révocation effective en &lt; 1 sec après modification BDD</t>
        </is>
      </c>
      <c r="E7" s="8" t="inlineStr">
        <is>
          <t>À tester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18" customWidth="1" min="5" max="5"/>
  </cols>
  <sheetData>
    <row r="1" ht="28" customHeight="1">
      <c r="A1" s="6" t="inlineStr">
        <is>
          <t>Catégorie</t>
        </is>
      </c>
      <c r="B1" s="6" t="inlineStr">
        <is>
          <t>Éléments testés</t>
        </is>
      </c>
      <c r="C1" s="6" t="inlineStr">
        <is>
          <t>Critères de réussite</t>
        </is>
      </c>
      <c r="D1" s="6" t="inlineStr">
        <is>
          <t>Résultat attendu</t>
        </is>
      </c>
      <c r="E1" s="6" t="inlineStr">
        <is>
          <t>Statut</t>
        </is>
      </c>
    </row>
    <row r="2" ht="40" customHeight="1">
      <c r="A2" s="3" t="inlineStr">
        <is>
          <t>Temps de réponse</t>
        </is>
      </c>
      <c r="B2" s="5" t="inlineStr">
        <is>
          <t>Détection PIR → déclenchement sonnette</t>
        </is>
      </c>
      <c r="C2" s="5" t="inlineStr">
        <is>
          <t>Réaction en moins de 1 seconde</t>
        </is>
      </c>
      <c r="D2" s="5" t="inlineStr">
        <is>
          <t>Latence mesurée &lt; 1 sec sur 10 tests consécutifs</t>
        </is>
      </c>
      <c r="E2" s="7" t="inlineStr">
        <is>
          <t>À tester</t>
        </is>
      </c>
    </row>
    <row r="3" ht="40" customHeight="1">
      <c r="A3" s="3" t="inlineStr">
        <is>
          <t>Temps de réponse</t>
        </is>
      </c>
      <c r="B3" s="4" t="inlineStr">
        <is>
          <t>Lecture badge RFID → ouverture gâche</t>
        </is>
      </c>
      <c r="C3" s="4" t="inlineStr">
        <is>
          <t>Accès accordé en moins de 500ms</t>
        </is>
      </c>
      <c r="D3" s="4" t="inlineStr">
        <is>
          <t>Temps moyen &lt; 500ms sur 20 tests</t>
        </is>
      </c>
      <c r="E3" s="8" t="inlineStr">
        <is>
          <t>À tester</t>
        </is>
      </c>
    </row>
    <row r="4" ht="40" customHeight="1">
      <c r="A4" s="3" t="inlineStr">
        <is>
          <t>Temps de réponse</t>
        </is>
      </c>
      <c r="B4" s="5" t="inlineStr">
        <is>
          <t>Événement → affichage interface web admin</t>
        </is>
      </c>
      <c r="C4" s="5" t="inlineStr">
        <is>
          <t>Mise à jour visible en moins de 2 secondes</t>
        </is>
      </c>
      <c r="D4" s="5" t="inlineStr">
        <is>
          <t>Dashboard actualisé &lt; 2 sec après événement</t>
        </is>
      </c>
      <c r="E4" s="7" t="inlineStr">
        <is>
          <t>À tester</t>
        </is>
      </c>
    </row>
    <row r="5" ht="40" customHeight="1">
      <c r="A5" s="3" t="inlineStr">
        <is>
          <t>Charge système</t>
        </is>
      </c>
      <c r="B5" s="4" t="inlineStr">
        <is>
          <t>RPi3 serveur BDD + web, utilisation CPU/RAM</t>
        </is>
      </c>
      <c r="C5" s="4" t="inlineStr">
        <is>
          <t>CPU &lt; 80%, RAM &lt; 70% en charge normale</t>
        </is>
      </c>
      <c r="D5" s="4" t="inlineStr">
        <is>
          <t>Système stable sur 48h de fonctionnement continu</t>
        </is>
      </c>
      <c r="E5" s="8" t="inlineStr">
        <is>
          <t>À tester</t>
        </is>
      </c>
    </row>
    <row r="6" ht="40" customHeight="1">
      <c r="A6" s="3" t="inlineStr">
        <is>
          <t>Disponibilité</t>
        </is>
      </c>
      <c r="B6" s="5" t="inlineStr">
        <is>
          <t>Système complet en fonctionnement 48h</t>
        </is>
      </c>
      <c r="C6" s="5" t="inlineStr">
        <is>
          <t>Disponibilité ≥ 99% sur la période</t>
        </is>
      </c>
      <c r="D6" s="5" t="inlineStr">
        <is>
          <t>Aucune interruption de service non planifiée</t>
        </is>
      </c>
      <c r="E6" s="7" t="inlineStr">
        <is>
          <t>À tester</t>
        </is>
      </c>
    </row>
    <row r="7" ht="40" customHeight="1">
      <c r="A7" s="3" t="inlineStr">
        <is>
          <t>Fiabilité PIR</t>
        </is>
      </c>
      <c r="B7" s="4" t="inlineStr">
        <is>
          <t>10 tests de détection en conditions variées</t>
        </is>
      </c>
      <c r="C7" s="4" t="inlineStr">
        <is>
          <t>Taux de faux positifs &lt; 5%</t>
        </is>
      </c>
      <c r="D7" s="4" t="inlineStr">
        <is>
          <t>Taux de détection réel documenté et conforme</t>
        </is>
      </c>
      <c r="E7" s="8" t="inlineStr">
        <is>
          <t>À tester</t>
        </is>
      </c>
    </row>
    <row r="8" ht="40" customHeight="1">
      <c r="A8" s="3" t="inlineStr">
        <is>
          <t>Fiabilité RFID</t>
        </is>
      </c>
      <c r="B8" s="5" t="inlineStr">
        <is>
          <t>50 lectures de badges en conditions normales</t>
        </is>
      </c>
      <c r="C8" s="5" t="inlineStr">
        <is>
          <t>Taux de lecture réussie ≥ 98%</t>
        </is>
      </c>
      <c r="D8" s="5" t="inlineStr">
        <is>
          <t>Maximum 1 échec de lecture sur 50 tests</t>
        </is>
      </c>
      <c r="E8" s="7" t="inlineStr">
        <is>
          <t>À tester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6" customWidth="1" min="4" max="4"/>
    <col width="18" customWidth="1" min="5" max="5"/>
    <col width="20" customWidth="1" min="6" max="6"/>
  </cols>
  <sheetData>
    <row r="1" ht="28" customHeight="1">
      <c r="A1" s="6" t="inlineStr">
        <is>
          <t>Module</t>
        </is>
      </c>
      <c r="B1" s="6" t="inlineStr">
        <is>
          <t>Nb Tests</t>
        </is>
      </c>
      <c r="C1" s="6" t="inlineStr">
        <is>
          <t>Tests Réussis</t>
        </is>
      </c>
      <c r="D1" s="6" t="inlineStr">
        <is>
          <t>Tests Échoués</t>
        </is>
      </c>
      <c r="E1" s="6" t="inlineStr">
        <is>
          <t>Taux Réussite</t>
        </is>
      </c>
      <c r="F1" s="6" t="inlineStr">
        <is>
          <t>Validation</t>
        </is>
      </c>
    </row>
    <row r="2" ht="22" customHeight="1">
      <c r="A2" s="3" t="inlineStr">
        <is>
          <t>Porte 1 - Capteur PIR</t>
        </is>
      </c>
      <c r="B2" s="5" t="inlineStr"/>
      <c r="C2" s="5" t="inlineStr"/>
      <c r="D2" s="5" t="inlineStr"/>
      <c r="E2" s="5" t="inlineStr"/>
      <c r="F2" s="7" t="inlineStr">
        <is>
          <t>À valider</t>
        </is>
      </c>
    </row>
    <row r="3" ht="22" customHeight="1">
      <c r="A3" s="3" t="inlineStr">
        <is>
          <t>Porte 1 - Sonnette &amp; Alertes</t>
        </is>
      </c>
      <c r="B3" s="4" t="inlineStr"/>
      <c r="C3" s="4" t="inlineStr"/>
      <c r="D3" s="4" t="inlineStr"/>
      <c r="E3" s="4" t="inlineStr"/>
      <c r="F3" s="8" t="inlineStr">
        <is>
          <t>À valider</t>
        </is>
      </c>
    </row>
    <row r="4" ht="22" customHeight="1">
      <c r="A4" s="3" t="inlineStr">
        <is>
          <t>Porte 2 - Lecteur RFID</t>
        </is>
      </c>
      <c r="B4" s="5" t="inlineStr"/>
      <c r="C4" s="5" t="inlineStr"/>
      <c r="D4" s="5" t="inlineStr"/>
      <c r="E4" s="5" t="inlineStr"/>
      <c r="F4" s="7" t="inlineStr">
        <is>
          <t>À valider</t>
        </is>
      </c>
    </row>
    <row r="5" ht="22" customHeight="1">
      <c r="A5" s="3" t="inlineStr">
        <is>
          <t>Porte 2 - Gâche électrique</t>
        </is>
      </c>
      <c r="B5" s="4" t="inlineStr"/>
      <c r="C5" s="4" t="inlineStr"/>
      <c r="D5" s="4" t="inlineStr"/>
      <c r="E5" s="4" t="inlineStr"/>
      <c r="F5" s="8" t="inlineStr">
        <is>
          <t>À valider</t>
        </is>
      </c>
    </row>
    <row r="6" ht="22" customHeight="1">
      <c r="A6" s="3" t="inlineStr">
        <is>
          <t>Porte 2 - Caméra</t>
        </is>
      </c>
      <c r="B6" s="5" t="inlineStr"/>
      <c r="C6" s="5" t="inlineStr"/>
      <c r="D6" s="5" t="inlineStr"/>
      <c r="E6" s="5" t="inlineStr"/>
      <c r="F6" s="7" t="inlineStr">
        <is>
          <t>À valider</t>
        </is>
      </c>
    </row>
    <row r="7" ht="22" customHeight="1">
      <c r="A7" s="3" t="inlineStr">
        <is>
          <t>Base de données MySQL</t>
        </is>
      </c>
      <c r="B7" s="4" t="inlineStr"/>
      <c r="C7" s="4" t="inlineStr"/>
      <c r="D7" s="4" t="inlineStr"/>
      <c r="E7" s="4" t="inlineStr"/>
      <c r="F7" s="8" t="inlineStr">
        <is>
          <t>À valider</t>
        </is>
      </c>
    </row>
    <row r="8" ht="22" customHeight="1">
      <c r="A8" s="3" t="inlineStr">
        <is>
          <t>API REST PHP</t>
        </is>
      </c>
      <c r="B8" s="5" t="inlineStr"/>
      <c r="C8" s="5" t="inlineStr"/>
      <c r="D8" s="5" t="inlineStr"/>
      <c r="E8" s="5" t="inlineStr"/>
      <c r="F8" s="7" t="inlineStr">
        <is>
          <t>À valider</t>
        </is>
      </c>
    </row>
    <row r="9" ht="22" customHeight="1">
      <c r="A9" s="3" t="inlineStr">
        <is>
          <t>Interface web admin</t>
        </is>
      </c>
      <c r="B9" s="4" t="inlineStr"/>
      <c r="C9" s="4" t="inlineStr"/>
      <c r="D9" s="4" t="inlineStr"/>
      <c r="E9" s="4" t="inlineStr"/>
      <c r="F9" s="8" t="inlineStr">
        <is>
          <t>À valider</t>
        </is>
      </c>
    </row>
    <row r="10" ht="22" customHeight="1">
      <c r="A10" s="3" t="inlineStr">
        <is>
          <t>Réseau &amp; Intégration</t>
        </is>
      </c>
      <c r="B10" s="5" t="inlineStr"/>
      <c r="C10" s="5" t="inlineStr"/>
      <c r="D10" s="5" t="inlineStr"/>
      <c r="E10" s="5" t="inlineStr"/>
      <c r="F10" s="7" t="inlineStr">
        <is>
          <t>À valider</t>
        </is>
      </c>
    </row>
    <row r="11" ht="22" customHeight="1">
      <c r="A11" s="3" t="inlineStr">
        <is>
          <t>Sécurité &amp; RGPD</t>
        </is>
      </c>
      <c r="B11" s="4" t="inlineStr"/>
      <c r="C11" s="4" t="inlineStr"/>
      <c r="D11" s="4" t="inlineStr"/>
      <c r="E11" s="4" t="inlineStr"/>
      <c r="F11" s="8" t="inlineStr">
        <is>
          <t>À valider</t>
        </is>
      </c>
    </row>
    <row r="12" ht="22" customHeight="1">
      <c r="A12" s="3" t="inlineStr">
        <is>
          <t>Performance système</t>
        </is>
      </c>
      <c r="B12" s="5" t="inlineStr"/>
      <c r="C12" s="5" t="inlineStr"/>
      <c r="D12" s="5" t="inlineStr"/>
      <c r="E12" s="5" t="inlineStr"/>
      <c r="F12" s="7" t="inlineStr">
        <is>
          <t>À valider</t>
        </is>
      </c>
    </row>
    <row r="13" ht="25" customHeight="1">
      <c r="A13" s="9" t="inlineStr">
        <is>
          <t>TOTAL</t>
        </is>
      </c>
      <c r="B13" s="9">
        <f>SUM(B2:B12)</f>
        <v/>
      </c>
      <c r="C13" s="9">
        <f>SUM(C2:C12)</f>
        <v/>
      </c>
      <c r="D13" s="9">
        <f>SUM(D2:D12)</f>
        <v/>
      </c>
      <c r="E13" s="9">
        <f>IFERROR(C13/B13,"-")</f>
        <v/>
      </c>
      <c r="F13" s="9" t="n"/>
    </row>
    <row r="15" ht="22" customHeight="1">
      <c r="A15" s="10" t="inlineStr">
        <is>
          <t>Validation finale du système CERBÈRE</t>
        </is>
      </c>
    </row>
    <row r="16" ht="28" customHeight="1">
      <c r="A16" s="4" t="inlineStr">
        <is>
          <t>Chef de projet</t>
        </is>
      </c>
      <c r="B16" s="11" t="n"/>
      <c r="C16" s="11" t="n"/>
      <c r="D16" s="11" t="n"/>
      <c r="E16" s="11" t="n"/>
      <c r="F16" s="11" t="n"/>
    </row>
    <row r="17" ht="28" customHeight="1">
      <c r="A17" s="4" t="inlineStr">
        <is>
          <t>Encadrant(e) - Mr Ravion / Mme Symphor</t>
        </is>
      </c>
      <c r="B17" s="11" t="n"/>
      <c r="C17" s="11" t="n"/>
      <c r="D17" s="11" t="n"/>
      <c r="E17" s="11" t="n"/>
      <c r="F17" s="11" t="n"/>
    </row>
    <row r="18" ht="28" customHeight="1">
      <c r="A18" s="4" t="inlineStr">
        <is>
          <t>Représentant commanditaire - LGT Gaillard</t>
        </is>
      </c>
      <c r="B18" s="11" t="n"/>
      <c r="C18" s="11" t="n"/>
      <c r="D18" s="11" t="n"/>
      <c r="E18" s="11" t="n"/>
      <c r="F18" s="11" t="n"/>
    </row>
  </sheetData>
  <mergeCells count="1"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2026-02-23T11:39:05Z</dcterms:created>
  <dcterms:modified xmlns:dcterms="http://purl.org/dc/terms/" xmlns:xsi="http://www.w3.org/2001/XMLSchema-instance" xsi:type="dcterms:W3CDTF">2026-02-23T11:39:05Z</dcterms:modified>
</cp:coreProperties>
</file>