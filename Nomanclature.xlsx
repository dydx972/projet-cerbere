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Résumé de l’exportation" sheetId="1" r:id="rId5"/>
    <sheet name="Liste du Matériel" sheetId="2" r:id="rId6"/>
    <sheet name="Fournisseurs" sheetId="3" r:id="rId7"/>
    <sheet name="Alternatives Économiques" sheetId="4" r:id="rId8"/>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<sst xmlns="http://schemas.openxmlformats.org/spreadsheetml/2006/main" uniqueCount="135">
  <si>
    <t>Ce document a été exporté depuis Numbers. Chaque tableau a été converti en feuille de calcul Excel. Tous les autres objets sur chaque feuille Numbers ont été placés sur des feuilles de calcul différentes. Veuillez noter que les calculs de formules peuvent être différents dans Excel.</t>
  </si>
  <si>
    <t>Nom de la feuille Numbers</t>
  </si>
  <si>
    <t>Nom du tableau Numbers</t>
  </si>
  <si>
    <t>Nom de la feuille de calcul Excel</t>
  </si>
  <si>
    <t>Liste du Matériel</t>
  </si>
  <si>
    <t>Tableau 1</t>
  </si>
  <si>
    <t>NOMANCLATURE - PROJET CERBÈRE</t>
  </si>
  <si>
    <t>Système de Contrôle d'Accès Intelligent - Liste du Matériel</t>
  </si>
  <si>
    <t>BTS CIEL Option IR - Lycée Joseph Gaillard - Session 2026</t>
  </si>
  <si>
    <t>Date:</t>
  </si>
  <si>
    <t>16/12/2025</t>
  </si>
  <si>
    <t>Budget maximal:</t>
  </si>
  <si>
    <t>500 €</t>
  </si>
  <si>
    <t>N°</t>
  </si>
  <si>
    <t>Désignation</t>
  </si>
  <si>
    <t>Qté</t>
  </si>
  <si>
    <t>Prix Unit. (€)</t>
  </si>
  <si>
    <t>Total (€)</t>
  </si>
  <si>
    <t>Fournisseur</t>
  </si>
  <si>
    <t>Lien / Référence</t>
  </si>
  <si>
    <t>MICROCONTRÔLEURS &amp; CARTES</t>
  </si>
  <si>
    <t>Raspberry Pi 4 Model B (4GB RAM)</t>
  </si>
  <si>
    <t>Kubii / Yadom</t>
  </si>
  <si>
    <t>https://www.kubii.com/</t>
  </si>
  <si>
    <t>Carte microSD 64GB (Classe 10)</t>
  </si>
  <si>
    <t>Amazon</t>
  </si>
  <si>
    <t>Sandisk Ultra 64GB</t>
  </si>
  <si>
    <t>Alimentation USB-C 5V/3A (Pi 4)</t>
  </si>
  <si>
    <t>Kubii</t>
  </si>
  <si>
    <t>Alim officielle Raspberry</t>
  </si>
  <si>
    <t>Boîtier Raspberry Pi 4 (avec ventilation)</t>
  </si>
  <si>
    <t>Boîtier officiel</t>
  </si>
  <si>
    <t>Dissipateurs thermiques (kit)</t>
  </si>
  <si>
    <t>Kit 4 dissipateurs</t>
  </si>
  <si>
    <t>CAPTEURS &amp; MODULES</t>
  </si>
  <si>
    <t>Module RFID RC522 (13.56 MHz) + badges</t>
  </si>
  <si>
    <t>Opencircuit</t>
  </si>
  <si>
    <t>https://opencircuit.fr/</t>
  </si>
  <si>
    <t>Badges RFID supplémentaires (lot de 10)</t>
  </si>
  <si>
    <t>Badges Mifare S50</t>
  </si>
  <si>
    <t>Capteur PIR HC-SR501</t>
  </si>
  <si>
    <t>Letmeknow</t>
  </si>
  <si>
    <t>https://letmeknow.fr/</t>
  </si>
  <si>
    <t>Caméra Raspberry Pi v2 (8MP)</t>
  </si>
  <si>
    <t>Camera Module v2</t>
  </si>
  <si>
    <t>Nappe caméra 50cm</t>
  </si>
  <si>
    <t>Câble CSI flex</t>
  </si>
  <si>
    <t>ACTIONNEURS &amp; ÉLECTROMÉCANIQUE</t>
  </si>
  <si>
    <t>Gâche électrique 12V (fail-secure)</t>
  </si>
  <si>
    <t>Amazon / ManoMano</t>
  </si>
  <si>
    <t>Gâche 12V réversible</t>
  </si>
  <si>
    <t>Ventouse magnétique 12V (180kg)</t>
  </si>
  <si>
    <t>Ventouse 180kg</t>
  </si>
  <si>
    <t>Module relais 2 canaux 5V</t>
  </si>
  <si>
    <t>Relais optocuplé</t>
  </si>
  <si>
    <t>Buzzer actif 5V</t>
  </si>
  <si>
    <t>Buzzer piezo</t>
  </si>
  <si>
    <t>LED RGB (pack de 5)</t>
  </si>
  <si>
    <t>LED communes cathode</t>
  </si>
  <si>
    <t>STOCKAGE &amp; MÉMOIRE</t>
  </si>
  <si>
    <t>SSD USB 3.0 (256GB - optionnel)</t>
  </si>
  <si>
    <t>Samsung T7 ou équivalent</t>
  </si>
  <si>
    <t>Adaptateur USB vers SATA</t>
  </si>
  <si>
    <t>Pour SSD externe</t>
  </si>
  <si>
    <t>TOTAL GÉNÉRAL (HT)</t>
  </si>
  <si>
    <t>Budget disponible / Écart</t>
  </si>
  <si>
    <t>NOTES ET REMARQUES :</t>
  </si>
  <si>
    <t>• Les prix indiqués sont approximatifs et peuvent varier selon les fournisseurs et promotions.</t>
  </si>
  <si>
    <t>• Livraison en Martinique : Prévoir délai de 4 à 8 semaines depuis la métropole.</t>
  </si>
  <si>
    <t>• Certains articles peuvent être fournis par le lycée (vérifier disponibilité).</t>
  </si>
  <si>
    <t>• Les articles marqués 'optionnel' peuvent être retirés pour réduire les coûts.</t>
  </si>
  <si>
    <t>• Privilégier les achats groupés pour réduire les frais de port.</t>
  </si>
  <si>
    <t>• Budget transport estimé : 50-80€ (à inclure dans les 500€).</t>
  </si>
  <si>
    <t>Fournisseurs</t>
  </si>
  <si>
    <t>LISTE DES FOURNISSEURS RECOMMANDÉS</t>
  </si>
  <si>
    <t>Nom</t>
  </si>
  <si>
    <t>Site Web</t>
  </si>
  <si>
    <t>Spécialités</t>
  </si>
  <si>
    <t>Raspberry Pi, accessoires officiels, kits</t>
  </si>
  <si>
    <t>Amazon.fr</t>
  </si>
  <si>
    <t>https://www.amazon.fr/</t>
  </si>
  <si>
    <t>Composants électroniques, câbles, outils</t>
  </si>
  <si>
    <t>Modules RFID, capteurs, composants</t>
  </si>
  <si>
    <t>Capteurs Arduino/Raspberry, modules</t>
  </si>
  <si>
    <t>Cdiscount</t>
  </si>
  <si>
    <t>https://www.cdiscount.com/</t>
  </si>
  <si>
    <t>Matériel informatique, réseau</t>
  </si>
  <si>
    <t>ManoMano</t>
  </si>
  <si>
    <t>https://www.manomano.fr/</t>
  </si>
  <si>
    <t>Électromécanique, gâches, ventouses</t>
  </si>
  <si>
    <t>GoTronic</t>
  </si>
  <si>
    <t>https://www.gotronic.fr/</t>
  </si>
  <si>
    <t>Composants électroniques français</t>
  </si>
  <si>
    <t>Robot-Maker</t>
  </si>
  <si>
    <t>https://www.robot-maker.com/</t>
  </si>
  <si>
    <t>Robotique, Arduino, Raspberry</t>
  </si>
  <si>
    <t>Yadom</t>
  </si>
  <si>
    <t>https://yadom.fr/</t>
  </si>
  <si>
    <t>Cartes Raspberry Pi, accessoires</t>
  </si>
  <si>
    <t>Banggood</t>
  </si>
  <si>
    <t>https://fr.banggood.com/</t>
  </si>
  <si>
    <t>Composants pas chers (délai +long)</t>
  </si>
  <si>
    <t>Alternatives Économiques</t>
  </si>
  <si>
    <t>OPTIONS POUR RÉDUIRE LES COÛTS</t>
  </si>
  <si>
    <t>Article Standard</t>
  </si>
  <si>
    <t>Alternative Économique</t>
  </si>
  <si>
    <t>Économie (€)</t>
  </si>
  <si>
    <t>Remarques</t>
  </si>
  <si>
    <t>Raspberry Pi 4 neuf</t>
  </si>
  <si>
    <t>Raspberry Pi 3B+ reconditionné</t>
  </si>
  <si>
    <t>20-30</t>
  </si>
  <si>
    <t>Performance réduite mais suffisante</t>
  </si>
  <si>
    <t>SSD 256GB externe</t>
  </si>
  <si>
    <t>Utiliser carte microSD seule</t>
  </si>
  <si>
    <t>45</t>
  </si>
  <si>
    <t>Performance I/O réduite</t>
  </si>
  <si>
    <t>Point d'accès WiFi</t>
  </si>
  <si>
    <t>WiFi intégré Raspberry Pi</t>
  </si>
  <si>
    <t>30</t>
  </si>
  <si>
    <t>Portée limitée</t>
  </si>
  <si>
    <t>Onduleur UPS</t>
  </si>
  <si>
    <t>Alimentation de secours basique</t>
  </si>
  <si>
    <t>Moins d'autonomie</t>
  </si>
  <si>
    <t>Fer à souder station</t>
  </si>
  <si>
    <t>Fer à souder basique</t>
  </si>
  <si>
    <t>10</t>
  </si>
  <si>
    <t>Moins de contrôle température</t>
  </si>
  <si>
    <t>Boîtier IP65</t>
  </si>
  <si>
    <t>Boîtier plastique standard</t>
  </si>
  <si>
    <t>Protection réduite</t>
  </si>
  <si>
    <t>Switch 8 ports Gigabit</t>
  </si>
  <si>
    <t>Switch 5 ports Fast Ethernet</t>
  </si>
  <si>
    <t>Vitesse 100Mbps vs 1Gbps</t>
  </si>
  <si>
    <t>ÉCONOMIE TOTALE POSSIBLE :</t>
  </si>
  <si>
    <t>165-175 €</t>
  </si>
</sst>
</file>

<file path=xl/styles.xml><?xml version="1.0" encoding="utf-8"?>
<styleSheet xmlns="http://schemas.openxmlformats.org/spreadsheetml/2006/main">
  <numFmts count="1">
    <numFmt numFmtId="0" formatCode="General"/>
  </numFmts>
  <fonts count="18">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6"/>
      <color indexed="12"/>
      <name val="Calibri"/>
    </font>
    <font>
      <i val="1"/>
      <sz val="12"/>
      <color indexed="12"/>
      <name val="Calibri"/>
    </font>
    <font>
      <i val="1"/>
      <sz val="10"/>
      <color indexed="8"/>
      <name val="Calibri"/>
    </font>
    <font>
      <b val="1"/>
      <sz val="11"/>
      <color indexed="8"/>
      <name val="Calibri"/>
    </font>
    <font>
      <b val="1"/>
      <sz val="11"/>
      <color indexed="15"/>
      <name val="Calibri"/>
    </font>
    <font>
      <b val="1"/>
      <sz val="12"/>
      <color indexed="13"/>
      <name val="Calibri"/>
    </font>
    <font>
      <b val="1"/>
      <sz val="11"/>
      <color indexed="13"/>
      <name val="Calibri"/>
    </font>
    <font>
      <b val="1"/>
      <sz val="12"/>
      <color indexed="8"/>
      <name val="Calibri"/>
    </font>
    <font>
      <b val="1"/>
      <sz val="11"/>
      <color indexed="12"/>
      <name val="Calibri"/>
    </font>
    <font>
      <sz val="10"/>
      <color indexed="8"/>
      <name val="Calibri"/>
    </font>
    <font>
      <b val="1"/>
      <sz val="14"/>
      <color indexed="12"/>
      <name val="Calibri"/>
    </font>
    <font>
      <b val="1"/>
      <sz val="11"/>
      <color indexed="18"/>
      <name val="Calibri"/>
    </font>
  </fonts>
  <fills count="8">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3"/>
        <bgColor auto="1"/>
      </patternFill>
    </fill>
    <fill>
      <patternFill patternType="solid">
        <fgColor indexed="12"/>
        <bgColor auto="1"/>
      </patternFill>
    </fill>
    <fill>
      <patternFill patternType="solid">
        <fgColor indexed="16"/>
        <bgColor auto="1"/>
      </patternFill>
    </fill>
    <fill>
      <patternFill patternType="solid">
        <fgColor indexed="17"/>
        <bgColor auto="1"/>
      </patternFill>
    </fill>
  </fills>
  <borders count="10">
    <border>
      <left/>
      <right/>
      <top/>
      <bottom/>
      <diagonal/>
    </border>
    <border>
      <left style="thin">
        <color indexed="14"/>
      </left>
      <right style="thin">
        <color indexed="14"/>
      </right>
      <top style="thin">
        <color indexed="14"/>
      </top>
      <bottom style="thin">
        <color indexed="14"/>
      </bottom>
      <diagonal/>
    </border>
    <border>
      <left style="thin">
        <color indexed="14"/>
      </left>
      <right style="thin">
        <color indexed="14"/>
      </right>
      <top style="thin">
        <color indexed="14"/>
      </top>
      <bottom style="thin">
        <color indexed="8"/>
      </bottom>
      <diagonal/>
    </border>
    <border>
      <left style="thin">
        <color indexed="8"/>
      </left>
      <right style="thin">
        <color indexed="8"/>
      </right>
      <top style="thin">
        <color indexed="8"/>
      </top>
      <bottom style="thin">
        <color indexed="8"/>
      </bottom>
      <diagonal/>
    </border>
    <border>
      <left style="thin">
        <color indexed="8"/>
      </left>
      <right style="thin">
        <color indexed="14"/>
      </right>
      <top style="thin">
        <color indexed="8"/>
      </top>
      <bottom style="thin">
        <color indexed="8"/>
      </bottom>
      <diagonal/>
    </border>
    <border>
      <left style="thin">
        <color indexed="14"/>
      </left>
      <right style="thin">
        <color indexed="14"/>
      </right>
      <top style="thin">
        <color indexed="8"/>
      </top>
      <bottom style="thin">
        <color indexed="8"/>
      </bottom>
      <diagonal/>
    </border>
    <border>
      <left style="thin">
        <color indexed="8"/>
      </left>
      <right style="thin">
        <color indexed="14"/>
      </right>
      <top style="thin">
        <color indexed="8"/>
      </top>
      <bottom style="thin">
        <color indexed="14"/>
      </bottom>
      <diagonal/>
    </border>
    <border>
      <left style="thin">
        <color indexed="14"/>
      </left>
      <right style="thin">
        <color indexed="14"/>
      </right>
      <top style="thin">
        <color indexed="8"/>
      </top>
      <bottom style="thin">
        <color indexed="14"/>
      </bottom>
      <diagonal/>
    </border>
    <border>
      <left style="thin">
        <color indexed="14"/>
      </left>
      <right style="thin">
        <color indexed="8"/>
      </right>
      <top style="thin">
        <color indexed="8"/>
      </top>
      <bottom style="thin">
        <color indexed="14"/>
      </bottom>
      <diagonal/>
    </border>
    <border>
      <left style="thin">
        <color indexed="8"/>
      </left>
      <right style="thin">
        <color indexed="14"/>
      </right>
      <top style="thin">
        <color indexed="14"/>
      </top>
      <bottom style="thin">
        <color indexed="14"/>
      </bottom>
      <diagonal/>
    </border>
  </borders>
  <cellStyleXfs count="1">
    <xf numFmtId="0" fontId="0" applyNumberFormat="0" applyFont="1" applyFill="0" applyBorder="0" applyAlignment="1" applyProtection="0">
      <alignment vertical="bottom"/>
    </xf>
  </cellStyleXfs>
  <cellXfs count="39">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fillId="4" borderId="1" applyNumberFormat="1" applyFont="1" applyFill="1" applyBorder="1" applyAlignment="1" applyProtection="0">
      <alignment horizontal="center" vertical="center" wrapText="1"/>
    </xf>
    <xf numFmtId="0" fontId="0" borderId="1" applyNumberFormat="0" applyFont="1" applyFill="0" applyBorder="1" applyAlignment="1" applyProtection="0">
      <alignment vertical="bottom"/>
    </xf>
    <xf numFmtId="49" fontId="7" fillId="4" borderId="1" applyNumberFormat="1" applyFont="1" applyFill="1" applyBorder="1" applyAlignment="1" applyProtection="0">
      <alignment horizontal="center" vertical="center" wrapText="1"/>
    </xf>
    <xf numFmtId="49" fontId="8" fillId="4" borderId="1" applyNumberFormat="1" applyFont="1" applyFill="1" applyBorder="1" applyAlignment="1" applyProtection="0">
      <alignment horizontal="center" vertical="center" wrapText="1"/>
    </xf>
    <xf numFmtId="49" fontId="9" borderId="1" applyNumberFormat="1" applyFont="1" applyFill="0" applyBorder="1" applyAlignment="1" applyProtection="0">
      <alignment vertical="bottom"/>
    </xf>
    <xf numFmtId="49" fontId="0" borderId="1" applyNumberFormat="1" applyFont="1" applyFill="0" applyBorder="1" applyAlignment="1" applyProtection="0">
      <alignment vertical="bottom"/>
    </xf>
    <xf numFmtId="49" fontId="10" borderId="1" applyNumberFormat="1" applyFont="1" applyFill="0" applyBorder="1" applyAlignment="1" applyProtection="0">
      <alignment vertical="bottom"/>
    </xf>
    <xf numFmtId="0" fontId="9" borderId="1" applyNumberFormat="0" applyFont="1" applyFill="0" applyBorder="1" applyAlignment="1" applyProtection="0">
      <alignment vertical="bottom"/>
    </xf>
    <xf numFmtId="0" fontId="0" borderId="2" applyNumberFormat="0" applyFont="1" applyFill="0" applyBorder="1" applyAlignment="1" applyProtection="0">
      <alignment vertical="bottom"/>
    </xf>
    <xf numFmtId="49" fontId="11" fillId="5" borderId="3" applyNumberFormat="1" applyFont="1" applyFill="1" applyBorder="1" applyAlignment="1" applyProtection="0">
      <alignment horizontal="center" vertical="center" wrapText="1"/>
    </xf>
    <xf numFmtId="49" fontId="12" fillId="6" borderId="3" applyNumberFormat="1" applyFont="1" applyFill="1" applyBorder="1" applyAlignment="1" applyProtection="0">
      <alignment horizontal="left" vertical="center" wrapText="1"/>
    </xf>
    <xf numFmtId="0" fontId="0" borderId="4" applyNumberFormat="0" applyFont="1" applyFill="0" applyBorder="1" applyAlignment="1" applyProtection="0">
      <alignment vertical="bottom"/>
    </xf>
    <xf numFmtId="0" fontId="0" borderId="5" applyNumberFormat="0" applyFont="1" applyFill="0" applyBorder="1" applyAlignment="1" applyProtection="0">
      <alignment vertical="bottom"/>
    </xf>
    <xf numFmtId="0" fontId="0" fillId="4" borderId="3" applyNumberFormat="1" applyFont="1" applyFill="1" applyBorder="1" applyAlignment="1" applyProtection="0">
      <alignment horizontal="center" vertical="center" wrapText="1"/>
    </xf>
    <xf numFmtId="49" fontId="0" fillId="4" borderId="3" applyNumberFormat="1" applyFont="1" applyFill="1" applyBorder="1" applyAlignment="1" applyProtection="0">
      <alignment horizontal="left" vertical="center" wrapText="1"/>
    </xf>
    <xf numFmtId="1" fontId="0" fillId="4" borderId="3" applyNumberFormat="1" applyFont="1" applyFill="1" applyBorder="1" applyAlignment="1" applyProtection="0">
      <alignment horizontal="right" vertical="center"/>
    </xf>
    <xf numFmtId="49" fontId="13" fillId="7" borderId="3" applyNumberFormat="1" applyFont="1" applyFill="1" applyBorder="1" applyAlignment="1" applyProtection="0">
      <alignment horizontal="right" vertical="center"/>
    </xf>
    <xf numFmtId="0" fontId="0" borderId="6" applyNumberFormat="0" applyFont="1" applyFill="0" applyBorder="1" applyAlignment="1" applyProtection="0">
      <alignment vertical="bottom"/>
    </xf>
    <xf numFmtId="0" fontId="0"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1" fontId="13" fillId="7" borderId="3" applyNumberFormat="1" applyFont="1" applyFill="1" applyBorder="1" applyAlignment="1" applyProtection="0">
      <alignment horizontal="right" vertical="center"/>
    </xf>
    <xf numFmtId="0" fontId="0" fillId="7" borderId="3" applyNumberFormat="0" applyFont="1" applyFill="1" applyBorder="1" applyAlignment="1" applyProtection="0">
      <alignment vertical="bottom"/>
    </xf>
    <xf numFmtId="49" fontId="9" fillId="4" borderId="7" applyNumberFormat="1" applyFont="1" applyFill="1" applyBorder="1" applyAlignment="1" applyProtection="0">
      <alignment horizontal="right" vertical="center"/>
    </xf>
    <xf numFmtId="1" fontId="10" fillId="4" borderId="7" applyNumberFormat="1" applyFont="1" applyFill="1" applyBorder="1" applyAlignment="1" applyProtection="0">
      <alignment horizontal="right" vertical="center"/>
    </xf>
    <xf numFmtId="49" fontId="14" borderId="1" applyNumberFormat="1" applyFont="1" applyFill="0" applyBorder="1" applyAlignment="1" applyProtection="0">
      <alignment vertical="bottom"/>
    </xf>
    <xf numFmtId="49" fontId="15" borderId="1" applyNumberFormat="1" applyFont="1" applyFill="0" applyBorder="1" applyAlignment="1" applyProtection="0">
      <alignment vertical="bottom"/>
    </xf>
    <xf numFmtId="0" fontId="0" applyNumberFormat="1" applyFont="1" applyFill="0" applyBorder="0" applyAlignment="1" applyProtection="0">
      <alignment vertical="bottom"/>
    </xf>
    <xf numFmtId="49" fontId="16" borderId="1" applyNumberFormat="1" applyFont="1" applyFill="0" applyBorder="1" applyAlignment="1" applyProtection="0">
      <alignmen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0" fillId="4" borderId="3" applyNumberFormat="1" applyFont="1" applyFill="1" applyBorder="1" applyAlignment="1" applyProtection="0">
      <alignment horizontal="center" vertical="center" wrapText="1"/>
    </xf>
    <xf numFmtId="49" fontId="17" fillId="4" borderId="1" applyNumberFormat="1" applyFont="1" applyFill="1" applyBorder="1" applyAlignment="1" applyProtection="0">
      <alignment horizontal="center"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1f4e78"/>
      <rgbColor rgb="ffffffff"/>
      <rgbColor rgb="ffaaaaaa"/>
      <rgbColor rgb="ffc00000"/>
      <rgbColor rgb="ff4472c4"/>
      <rgbColor rgb="ffffc000"/>
      <rgbColor rgb="ff00800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73</v>
      </c>
      <c r="C11" s="3"/>
      <c r="D11" s="3"/>
    </row>
    <row r="12">
      <c r="B12" s="4"/>
      <c r="C12" t="s" s="4">
        <v>5</v>
      </c>
      <c r="D12" t="s" s="5">
        <v>73</v>
      </c>
    </row>
    <row r="13">
      <c r="B13" t="s" s="3">
        <v>102</v>
      </c>
      <c r="C13" s="3"/>
      <c r="D13" s="3"/>
    </row>
    <row r="14">
      <c r="B14" s="4"/>
      <c r="C14" t="s" s="4">
        <v>5</v>
      </c>
      <c r="D14" t="s" s="5">
        <v>102</v>
      </c>
    </row>
  </sheetData>
  <mergeCells count="1">
    <mergeCell ref="B3:D3"/>
  </mergeCells>
  <hyperlinks>
    <hyperlink ref="D10" location="'Liste du Matériel'!R1C1" tooltip="" display="Liste du Matériel"/>
    <hyperlink ref="D12" location="'Fournisseurs'!R1C1" tooltip="" display="Fournisseurs"/>
    <hyperlink ref="D14" location="'Alternatives Économiques'!R1C1" tooltip="" display="Alternatives Économiques"/>
  </hyperlinks>
</worksheet>
</file>

<file path=xl/worksheets/sheet2.xml><?xml version="1.0" encoding="utf-8"?>
<worksheet xmlns:r="http://schemas.openxmlformats.org/officeDocument/2006/relationships" xmlns="http://schemas.openxmlformats.org/spreadsheetml/2006/main">
  <dimension ref="A1:G40"/>
  <sheetViews>
    <sheetView workbookViewId="0" showGridLines="0" defaultGridColor="1"/>
  </sheetViews>
  <sheetFormatPr defaultColWidth="8.83333" defaultRowHeight="15" customHeight="1" outlineLevelRow="0" outlineLevelCol="0"/>
  <cols>
    <col min="1" max="1" width="8" style="6" customWidth="1"/>
    <col min="2" max="2" width="45" style="6" customWidth="1"/>
    <col min="3" max="5" width="15" style="6" customWidth="1"/>
    <col min="6" max="6" width="20" style="6" customWidth="1"/>
    <col min="7" max="7" width="50" style="6" customWidth="1"/>
    <col min="8" max="16384" width="8.85156" style="6" customWidth="1"/>
  </cols>
  <sheetData>
    <row r="1" ht="19.45" customHeight="1">
      <c r="A1" t="s" s="7">
        <v>6</v>
      </c>
      <c r="B1" s="8"/>
      <c r="C1" s="8"/>
      <c r="D1" s="8"/>
      <c r="E1" s="8"/>
      <c r="F1" s="8"/>
      <c r="G1" s="8"/>
    </row>
    <row r="2" ht="15.35" customHeight="1">
      <c r="A2" t="s" s="9">
        <v>7</v>
      </c>
      <c r="B2" s="8"/>
      <c r="C2" s="8"/>
      <c r="D2" s="8"/>
      <c r="E2" s="8"/>
      <c r="F2" s="8"/>
      <c r="G2" s="8"/>
    </row>
    <row r="3" ht="13.75" customHeight="1">
      <c r="A3" t="s" s="10">
        <v>8</v>
      </c>
      <c r="B3" s="8"/>
      <c r="C3" s="8"/>
      <c r="D3" s="8"/>
      <c r="E3" s="8"/>
      <c r="F3" s="8"/>
      <c r="G3" s="8"/>
    </row>
    <row r="4" ht="13.55" customHeight="1">
      <c r="A4" s="8"/>
      <c r="B4" s="8"/>
      <c r="C4" s="8"/>
      <c r="D4" s="8"/>
      <c r="E4" s="8"/>
      <c r="F4" s="8"/>
      <c r="G4" s="8"/>
    </row>
    <row r="5" ht="13.55" customHeight="1">
      <c r="A5" t="s" s="11">
        <v>9</v>
      </c>
      <c r="B5" t="s" s="12">
        <v>10</v>
      </c>
      <c r="C5" s="8"/>
      <c r="D5" t="s" s="11">
        <v>11</v>
      </c>
      <c r="E5" t="s" s="13">
        <v>12</v>
      </c>
      <c r="F5" s="8"/>
      <c r="G5" s="8"/>
    </row>
    <row r="6" ht="13.55" customHeight="1">
      <c r="A6" s="14"/>
      <c r="B6" s="8"/>
      <c r="C6" s="8"/>
      <c r="D6" s="8"/>
      <c r="E6" s="8"/>
      <c r="F6" s="8"/>
      <c r="G6" s="8"/>
    </row>
    <row r="7" ht="13.55" customHeight="1">
      <c r="A7" s="15"/>
      <c r="B7" s="15"/>
      <c r="C7" s="15"/>
      <c r="D7" s="15"/>
      <c r="E7" s="15"/>
      <c r="F7" s="15"/>
      <c r="G7" s="15"/>
    </row>
    <row r="8" ht="15.35" customHeight="1">
      <c r="A8" t="s" s="16">
        <v>13</v>
      </c>
      <c r="B8" t="s" s="16">
        <v>14</v>
      </c>
      <c r="C8" t="s" s="16">
        <v>15</v>
      </c>
      <c r="D8" t="s" s="16">
        <v>16</v>
      </c>
      <c r="E8" t="s" s="16">
        <v>17</v>
      </c>
      <c r="F8" t="s" s="16">
        <v>18</v>
      </c>
      <c r="G8" t="s" s="16">
        <v>19</v>
      </c>
    </row>
    <row r="9" ht="13.55" customHeight="1">
      <c r="A9" t="s" s="17">
        <v>20</v>
      </c>
      <c r="B9" s="18"/>
      <c r="C9" s="19"/>
      <c r="D9" s="19"/>
      <c r="E9" s="19"/>
      <c r="F9" s="19"/>
      <c r="G9" s="19"/>
    </row>
    <row r="10" ht="13.55" customHeight="1">
      <c r="A10" s="20">
        <v>1</v>
      </c>
      <c r="B10" t="s" s="21">
        <v>21</v>
      </c>
      <c r="C10" s="20">
        <v>3</v>
      </c>
      <c r="D10" s="22">
        <v>66</v>
      </c>
      <c r="E10" s="22">
        <v>198</v>
      </c>
      <c r="F10" t="s" s="21">
        <v>22</v>
      </c>
      <c r="G10" t="s" s="21">
        <v>23</v>
      </c>
    </row>
    <row r="11" ht="13.55" customHeight="1">
      <c r="A11" s="20">
        <v>2</v>
      </c>
      <c r="B11" t="s" s="21">
        <v>24</v>
      </c>
      <c r="C11" s="20">
        <v>3</v>
      </c>
      <c r="D11" s="22">
        <v>12</v>
      </c>
      <c r="E11" s="22">
        <v>36</v>
      </c>
      <c r="F11" t="s" s="21">
        <v>25</v>
      </c>
      <c r="G11" t="s" s="21">
        <v>26</v>
      </c>
    </row>
    <row r="12" ht="13.55" customHeight="1">
      <c r="A12" s="20">
        <v>3</v>
      </c>
      <c r="B12" t="s" s="21">
        <v>27</v>
      </c>
      <c r="C12" s="20">
        <v>3</v>
      </c>
      <c r="D12" s="22">
        <v>10</v>
      </c>
      <c r="E12" s="22">
        <v>30</v>
      </c>
      <c r="F12" t="s" s="21">
        <v>28</v>
      </c>
      <c r="G12" t="s" s="21">
        <v>29</v>
      </c>
    </row>
    <row r="13" ht="13.55" customHeight="1">
      <c r="A13" s="20">
        <v>4</v>
      </c>
      <c r="B13" t="s" s="21">
        <v>30</v>
      </c>
      <c r="C13" s="20">
        <v>3</v>
      </c>
      <c r="D13" s="22">
        <v>8</v>
      </c>
      <c r="E13" s="22">
        <v>24</v>
      </c>
      <c r="F13" t="s" s="21">
        <v>28</v>
      </c>
      <c r="G13" t="s" s="21">
        <v>31</v>
      </c>
    </row>
    <row r="14" ht="13.55" customHeight="1">
      <c r="A14" s="20">
        <v>5</v>
      </c>
      <c r="B14" t="s" s="21">
        <v>32</v>
      </c>
      <c r="C14" s="20">
        <v>3</v>
      </c>
      <c r="D14" s="22">
        <v>3</v>
      </c>
      <c r="E14" s="22">
        <v>9</v>
      </c>
      <c r="F14" t="s" s="21">
        <v>25</v>
      </c>
      <c r="G14" t="s" s="21">
        <v>33</v>
      </c>
    </row>
    <row r="15" ht="13.55" customHeight="1">
      <c r="A15" t="s" s="17">
        <v>34</v>
      </c>
      <c r="B15" s="18"/>
      <c r="C15" s="19"/>
      <c r="D15" s="19"/>
      <c r="E15" s="19"/>
      <c r="F15" s="19"/>
      <c r="G15" s="19"/>
    </row>
    <row r="16" ht="13.55" customHeight="1">
      <c r="A16" s="20">
        <v>6</v>
      </c>
      <c r="B16" t="s" s="21">
        <v>35</v>
      </c>
      <c r="C16" s="20">
        <v>1</v>
      </c>
      <c r="D16" s="22">
        <v>2.4</v>
      </c>
      <c r="E16" s="22">
        <v>2.4</v>
      </c>
      <c r="F16" t="s" s="21">
        <v>36</v>
      </c>
      <c r="G16" t="s" s="21">
        <v>37</v>
      </c>
    </row>
    <row r="17" ht="13.55" customHeight="1">
      <c r="A17" s="20">
        <v>7</v>
      </c>
      <c r="B17" t="s" s="21">
        <v>38</v>
      </c>
      <c r="C17" s="20">
        <v>1</v>
      </c>
      <c r="D17" s="22">
        <v>5</v>
      </c>
      <c r="E17" s="22">
        <v>5</v>
      </c>
      <c r="F17" t="s" s="21">
        <v>25</v>
      </c>
      <c r="G17" t="s" s="21">
        <v>39</v>
      </c>
    </row>
    <row r="18" ht="13.55" customHeight="1">
      <c r="A18" s="20">
        <v>8</v>
      </c>
      <c r="B18" t="s" s="21">
        <v>40</v>
      </c>
      <c r="C18" s="20">
        <v>1</v>
      </c>
      <c r="D18" s="22">
        <v>3.5</v>
      </c>
      <c r="E18" s="22">
        <v>3.5</v>
      </c>
      <c r="F18" t="s" s="21">
        <v>41</v>
      </c>
      <c r="G18" t="s" s="21">
        <v>42</v>
      </c>
    </row>
    <row r="19" ht="13.55" customHeight="1">
      <c r="A19" s="20">
        <v>9</v>
      </c>
      <c r="B19" t="s" s="21">
        <v>43</v>
      </c>
      <c r="C19" s="20">
        <v>1</v>
      </c>
      <c r="D19" s="22">
        <v>25</v>
      </c>
      <c r="E19" s="22">
        <v>25</v>
      </c>
      <c r="F19" t="s" s="21">
        <v>28</v>
      </c>
      <c r="G19" t="s" s="21">
        <v>44</v>
      </c>
    </row>
    <row r="20" ht="13.55" customHeight="1">
      <c r="A20" s="20">
        <v>10</v>
      </c>
      <c r="B20" t="s" s="21">
        <v>45</v>
      </c>
      <c r="C20" s="20">
        <v>1</v>
      </c>
      <c r="D20" s="22">
        <v>4</v>
      </c>
      <c r="E20" s="22">
        <v>4</v>
      </c>
      <c r="F20" t="s" s="21">
        <v>25</v>
      </c>
      <c r="G20" t="s" s="21">
        <v>46</v>
      </c>
    </row>
    <row r="21" ht="13.55" customHeight="1">
      <c r="A21" t="s" s="17">
        <v>47</v>
      </c>
      <c r="B21" s="18"/>
      <c r="C21" s="19"/>
      <c r="D21" s="19"/>
      <c r="E21" s="19"/>
      <c r="F21" s="19"/>
      <c r="G21" s="19"/>
    </row>
    <row r="22" ht="13.55" customHeight="1">
      <c r="A22" s="20">
        <v>11</v>
      </c>
      <c r="B22" t="s" s="21">
        <v>48</v>
      </c>
      <c r="C22" s="20">
        <v>1</v>
      </c>
      <c r="D22" s="22">
        <v>35</v>
      </c>
      <c r="E22" s="22">
        <v>35</v>
      </c>
      <c r="F22" t="s" s="21">
        <v>49</v>
      </c>
      <c r="G22" t="s" s="21">
        <v>50</v>
      </c>
    </row>
    <row r="23" ht="13.55" customHeight="1">
      <c r="A23" s="20">
        <v>12</v>
      </c>
      <c r="B23" t="s" s="21">
        <v>51</v>
      </c>
      <c r="C23" s="20">
        <v>1</v>
      </c>
      <c r="D23" s="22">
        <v>40</v>
      </c>
      <c r="E23" s="22">
        <v>40</v>
      </c>
      <c r="F23" t="s" s="21">
        <v>49</v>
      </c>
      <c r="G23" t="s" s="21">
        <v>52</v>
      </c>
    </row>
    <row r="24" ht="13.55" customHeight="1">
      <c r="A24" s="20">
        <v>13</v>
      </c>
      <c r="B24" t="s" s="21">
        <v>53</v>
      </c>
      <c r="C24" s="20">
        <v>2</v>
      </c>
      <c r="D24" s="22">
        <v>5</v>
      </c>
      <c r="E24" s="22">
        <v>10</v>
      </c>
      <c r="F24" t="s" s="21">
        <v>25</v>
      </c>
      <c r="G24" t="s" s="21">
        <v>54</v>
      </c>
    </row>
    <row r="25" ht="13.55" customHeight="1">
      <c r="A25" s="20">
        <v>14</v>
      </c>
      <c r="B25" t="s" s="21">
        <v>55</v>
      </c>
      <c r="C25" s="20">
        <v>1</v>
      </c>
      <c r="D25" s="22">
        <v>2</v>
      </c>
      <c r="E25" s="22">
        <v>2</v>
      </c>
      <c r="F25" t="s" s="21">
        <v>25</v>
      </c>
      <c r="G25" t="s" s="21">
        <v>56</v>
      </c>
    </row>
    <row r="26" ht="13.55" customHeight="1">
      <c r="A26" s="20">
        <v>15</v>
      </c>
      <c r="B26" t="s" s="21">
        <v>57</v>
      </c>
      <c r="C26" s="20">
        <v>1</v>
      </c>
      <c r="D26" s="22">
        <v>3</v>
      </c>
      <c r="E26" s="22">
        <v>3</v>
      </c>
      <c r="F26" t="s" s="21">
        <v>25</v>
      </c>
      <c r="G26" t="s" s="21">
        <v>58</v>
      </c>
    </row>
    <row r="27" ht="13.55" customHeight="1">
      <c r="A27" t="s" s="17">
        <v>59</v>
      </c>
      <c r="B27" s="18"/>
      <c r="C27" s="19"/>
      <c r="D27" s="19"/>
      <c r="E27" s="19"/>
      <c r="F27" s="19"/>
      <c r="G27" s="19"/>
    </row>
    <row r="28" ht="13.55" customHeight="1">
      <c r="A28" s="20">
        <v>28</v>
      </c>
      <c r="B28" t="s" s="21">
        <v>60</v>
      </c>
      <c r="C28" s="20">
        <v>1</v>
      </c>
      <c r="D28" s="22">
        <v>45</v>
      </c>
      <c r="E28" s="22">
        <v>45</v>
      </c>
      <c r="F28" t="s" s="21">
        <v>25</v>
      </c>
      <c r="G28" t="s" s="21">
        <v>61</v>
      </c>
    </row>
    <row r="29" ht="13.55" customHeight="1">
      <c r="A29" s="20">
        <v>29</v>
      </c>
      <c r="B29" t="s" s="21">
        <v>62</v>
      </c>
      <c r="C29" s="20">
        <v>1</v>
      </c>
      <c r="D29" s="22">
        <v>10</v>
      </c>
      <c r="E29" s="22">
        <v>10</v>
      </c>
      <c r="F29" t="s" s="21">
        <v>25</v>
      </c>
      <c r="G29" t="s" s="21">
        <v>63</v>
      </c>
    </row>
    <row r="30" ht="15.35" customHeight="1">
      <c r="A30" t="s" s="23">
        <v>64</v>
      </c>
      <c r="B30" s="24"/>
      <c r="C30" s="25"/>
      <c r="D30" s="26"/>
      <c r="E30" s="27" cm="1">
        <f t="array" ref="E30">SUM(E10:E29)</f>
        <v>481.9</v>
      </c>
      <c r="F30" s="28"/>
      <c r="G30" s="28"/>
    </row>
    <row r="31" ht="13.55" customHeight="1">
      <c r="A31" t="s" s="29">
        <v>65</v>
      </c>
      <c r="B31" s="8"/>
      <c r="C31" s="8"/>
      <c r="D31" s="8"/>
      <c r="E31" s="30" cm="1">
        <f t="array" ref="E31">500-E30</f>
        <v>18.1</v>
      </c>
      <c r="F31" s="25"/>
      <c r="G31" s="25"/>
    </row>
    <row r="32" ht="13.55" customHeight="1">
      <c r="A32" s="8"/>
      <c r="B32" s="8"/>
      <c r="C32" s="8"/>
      <c r="D32" s="8"/>
      <c r="E32" s="8"/>
      <c r="F32" s="8"/>
      <c r="G32" s="8"/>
    </row>
    <row r="33" ht="13.55" customHeight="1">
      <c r="A33" s="8"/>
      <c r="B33" s="8"/>
      <c r="C33" s="8"/>
      <c r="D33" s="8"/>
      <c r="E33" s="8"/>
      <c r="F33" s="8"/>
      <c r="G33" s="8"/>
    </row>
    <row r="34" ht="13.55" customHeight="1">
      <c r="A34" t="s" s="31">
        <v>66</v>
      </c>
      <c r="B34" s="8"/>
      <c r="C34" s="8"/>
      <c r="D34" s="8"/>
      <c r="E34" s="8"/>
      <c r="F34" s="8"/>
      <c r="G34" s="8"/>
    </row>
    <row r="35" ht="13.75" customHeight="1">
      <c r="A35" t="s" s="32">
        <v>67</v>
      </c>
      <c r="B35" s="8"/>
      <c r="C35" s="8"/>
      <c r="D35" s="8"/>
      <c r="E35" s="8"/>
      <c r="F35" s="8"/>
      <c r="G35" s="8"/>
    </row>
    <row r="36" ht="13.75" customHeight="1">
      <c r="A36" t="s" s="32">
        <v>68</v>
      </c>
      <c r="B36" s="8"/>
      <c r="C36" s="8"/>
      <c r="D36" s="8"/>
      <c r="E36" s="8"/>
      <c r="F36" s="8"/>
      <c r="G36" s="8"/>
    </row>
    <row r="37" ht="13.75" customHeight="1">
      <c r="A37" t="s" s="32">
        <v>69</v>
      </c>
      <c r="B37" s="8"/>
      <c r="C37" s="8"/>
      <c r="D37" s="8"/>
      <c r="E37" s="8"/>
      <c r="F37" s="8"/>
      <c r="G37" s="8"/>
    </row>
    <row r="38" ht="13.75" customHeight="1">
      <c r="A38" t="s" s="32">
        <v>70</v>
      </c>
      <c r="B38" s="8"/>
      <c r="C38" s="8"/>
      <c r="D38" s="8"/>
      <c r="E38" s="8"/>
      <c r="F38" s="8"/>
      <c r="G38" s="8"/>
    </row>
    <row r="39" ht="13.75" customHeight="1">
      <c r="A39" t="s" s="32">
        <v>71</v>
      </c>
      <c r="B39" s="8"/>
      <c r="C39" s="8"/>
      <c r="D39" s="8"/>
      <c r="E39" s="8"/>
      <c r="F39" s="8"/>
      <c r="G39" s="8"/>
    </row>
    <row r="40" ht="13.75" customHeight="1">
      <c r="A40" t="s" s="32">
        <v>72</v>
      </c>
      <c r="B40" s="8"/>
      <c r="C40" s="8"/>
      <c r="D40" s="8"/>
      <c r="E40" s="8"/>
      <c r="F40" s="8"/>
      <c r="G40" s="8"/>
    </row>
  </sheetData>
  <mergeCells count="15">
    <mergeCell ref="A36:G36"/>
    <mergeCell ref="A37:G37"/>
    <mergeCell ref="A9:G9"/>
    <mergeCell ref="A15:G15"/>
    <mergeCell ref="A38:G38"/>
    <mergeCell ref="A35:G35"/>
    <mergeCell ref="A1:G1"/>
    <mergeCell ref="A39:G39"/>
    <mergeCell ref="A40:G40"/>
    <mergeCell ref="A30:D30"/>
    <mergeCell ref="A3:G3"/>
    <mergeCell ref="A21:G21"/>
    <mergeCell ref="A2:G2"/>
    <mergeCell ref="A31:D31"/>
    <mergeCell ref="A27:G27"/>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E13"/>
  <sheetViews>
    <sheetView workbookViewId="0" showGridLines="0" defaultGridColor="1"/>
  </sheetViews>
  <sheetFormatPr defaultColWidth="8.83333" defaultRowHeight="15" customHeight="1" outlineLevelRow="0" outlineLevelCol="0"/>
  <cols>
    <col min="1" max="1" width="25" style="33" customWidth="1"/>
    <col min="2" max="2" width="50" style="33" customWidth="1"/>
    <col min="3" max="3" width="40" style="33" customWidth="1"/>
    <col min="4" max="5" width="8.85156" style="33" customWidth="1"/>
    <col min="6" max="16384" width="8.85156" style="33" customWidth="1"/>
  </cols>
  <sheetData>
    <row r="1" ht="17.9" customHeight="1">
      <c r="A1" t="s" s="34">
        <v>74</v>
      </c>
      <c r="B1" s="8"/>
      <c r="C1" s="8"/>
      <c r="D1" s="8"/>
      <c r="E1" s="8"/>
    </row>
    <row r="2" ht="13.55" customHeight="1">
      <c r="A2" s="15"/>
      <c r="B2" s="15"/>
      <c r="C2" s="15"/>
      <c r="D2" s="8"/>
      <c r="E2" s="8"/>
    </row>
    <row r="3" ht="15.35" customHeight="1">
      <c r="A3" t="s" s="16">
        <v>75</v>
      </c>
      <c r="B3" t="s" s="16">
        <v>76</v>
      </c>
      <c r="C3" t="s" s="16">
        <v>77</v>
      </c>
      <c r="D3" s="35"/>
      <c r="E3" s="8"/>
    </row>
    <row r="4" ht="13.55" customHeight="1">
      <c r="A4" t="s" s="21">
        <v>28</v>
      </c>
      <c r="B4" t="s" s="21">
        <v>23</v>
      </c>
      <c r="C4" t="s" s="21">
        <v>78</v>
      </c>
      <c r="D4" s="35"/>
      <c r="E4" s="8"/>
    </row>
    <row r="5" ht="13.55" customHeight="1">
      <c r="A5" t="s" s="21">
        <v>79</v>
      </c>
      <c r="B5" t="s" s="21">
        <v>80</v>
      </c>
      <c r="C5" t="s" s="21">
        <v>81</v>
      </c>
      <c r="D5" s="35"/>
      <c r="E5" s="8"/>
    </row>
    <row r="6" ht="13.55" customHeight="1">
      <c r="A6" t="s" s="21">
        <v>36</v>
      </c>
      <c r="B6" t="s" s="21">
        <v>37</v>
      </c>
      <c r="C6" t="s" s="21">
        <v>82</v>
      </c>
      <c r="D6" s="35"/>
      <c r="E6" s="8"/>
    </row>
    <row r="7" ht="13.55" customHeight="1">
      <c r="A7" t="s" s="21">
        <v>41</v>
      </c>
      <c r="B7" t="s" s="21">
        <v>42</v>
      </c>
      <c r="C7" t="s" s="21">
        <v>83</v>
      </c>
      <c r="D7" s="35"/>
      <c r="E7" s="8"/>
    </row>
    <row r="8" ht="13.55" customHeight="1">
      <c r="A8" t="s" s="21">
        <v>84</v>
      </c>
      <c r="B8" t="s" s="21">
        <v>85</v>
      </c>
      <c r="C8" t="s" s="21">
        <v>86</v>
      </c>
      <c r="D8" s="35"/>
      <c r="E8" s="8"/>
    </row>
    <row r="9" ht="13.55" customHeight="1">
      <c r="A9" t="s" s="21">
        <v>87</v>
      </c>
      <c r="B9" t="s" s="21">
        <v>88</v>
      </c>
      <c r="C9" t="s" s="21">
        <v>89</v>
      </c>
      <c r="D9" s="35"/>
      <c r="E9" s="8"/>
    </row>
    <row r="10" ht="13.55" customHeight="1">
      <c r="A10" t="s" s="21">
        <v>90</v>
      </c>
      <c r="B10" t="s" s="21">
        <v>91</v>
      </c>
      <c r="C10" t="s" s="21">
        <v>92</v>
      </c>
      <c r="D10" s="35"/>
      <c r="E10" s="8"/>
    </row>
    <row r="11" ht="13.55" customHeight="1">
      <c r="A11" t="s" s="21">
        <v>93</v>
      </c>
      <c r="B11" t="s" s="21">
        <v>94</v>
      </c>
      <c r="C11" t="s" s="21">
        <v>95</v>
      </c>
      <c r="D11" s="35"/>
      <c r="E11" s="8"/>
    </row>
    <row r="12" ht="13.55" customHeight="1">
      <c r="A12" t="s" s="21">
        <v>96</v>
      </c>
      <c r="B12" t="s" s="21">
        <v>97</v>
      </c>
      <c r="C12" t="s" s="21">
        <v>98</v>
      </c>
      <c r="D12" s="35"/>
      <c r="E12" s="8"/>
    </row>
    <row r="13" ht="13.55" customHeight="1">
      <c r="A13" t="s" s="21">
        <v>99</v>
      </c>
      <c r="B13" t="s" s="21">
        <v>100</v>
      </c>
      <c r="C13" t="s" s="21">
        <v>101</v>
      </c>
      <c r="D13" s="35"/>
      <c r="E13" s="8"/>
    </row>
  </sheetData>
  <mergeCells count="1">
    <mergeCell ref="A1:C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xl/worksheets/sheet4.xml><?xml version="1.0" encoding="utf-8"?>
<worksheet xmlns:r="http://schemas.openxmlformats.org/officeDocument/2006/relationships" xmlns="http://schemas.openxmlformats.org/spreadsheetml/2006/main">
  <dimension ref="A1:E13"/>
  <sheetViews>
    <sheetView workbookViewId="0" showGridLines="0" defaultGridColor="1"/>
  </sheetViews>
  <sheetFormatPr defaultColWidth="8.83333" defaultRowHeight="15" customHeight="1" outlineLevelRow="0" outlineLevelCol="0"/>
  <cols>
    <col min="1" max="2" width="35" style="36" customWidth="1"/>
    <col min="3" max="3" width="15" style="36" customWidth="1"/>
    <col min="4" max="4" width="40" style="36" customWidth="1"/>
    <col min="5" max="5" width="8.85156" style="36" customWidth="1"/>
    <col min="6" max="16384" width="8.85156" style="36" customWidth="1"/>
  </cols>
  <sheetData>
    <row r="1" ht="17.9" customHeight="1">
      <c r="A1" t="s" s="34">
        <v>103</v>
      </c>
      <c r="B1" s="8"/>
      <c r="C1" s="8"/>
      <c r="D1" s="8"/>
      <c r="E1" s="8"/>
    </row>
    <row r="2" ht="13.55" customHeight="1">
      <c r="A2" s="15"/>
      <c r="B2" s="15"/>
      <c r="C2" s="15"/>
      <c r="D2" s="15"/>
      <c r="E2" s="8"/>
    </row>
    <row r="3" ht="15.35" customHeight="1">
      <c r="A3" t="s" s="16">
        <v>104</v>
      </c>
      <c r="B3" t="s" s="16">
        <v>105</v>
      </c>
      <c r="C3" t="s" s="16">
        <v>106</v>
      </c>
      <c r="D3" t="s" s="16">
        <v>107</v>
      </c>
      <c r="E3" s="35"/>
    </row>
    <row r="4" ht="13.55" customHeight="1">
      <c r="A4" t="s" s="21">
        <v>108</v>
      </c>
      <c r="B4" t="s" s="21">
        <v>109</v>
      </c>
      <c r="C4" t="s" s="37">
        <v>110</v>
      </c>
      <c r="D4" t="s" s="21">
        <v>111</v>
      </c>
      <c r="E4" s="35"/>
    </row>
    <row r="5" ht="13.55" customHeight="1">
      <c r="A5" t="s" s="21">
        <v>112</v>
      </c>
      <c r="B5" t="s" s="21">
        <v>113</v>
      </c>
      <c r="C5" t="s" s="37">
        <v>114</v>
      </c>
      <c r="D5" t="s" s="21">
        <v>115</v>
      </c>
      <c r="E5" s="35"/>
    </row>
    <row r="6" ht="13.55" customHeight="1">
      <c r="A6" t="s" s="21">
        <v>116</v>
      </c>
      <c r="B6" t="s" s="21">
        <v>117</v>
      </c>
      <c r="C6" t="s" s="37">
        <v>118</v>
      </c>
      <c r="D6" t="s" s="21">
        <v>119</v>
      </c>
      <c r="E6" s="35"/>
    </row>
    <row r="7" ht="13.55" customHeight="1">
      <c r="A7" t="s" s="21">
        <v>120</v>
      </c>
      <c r="B7" t="s" s="21">
        <v>121</v>
      </c>
      <c r="C7" t="s" s="37">
        <v>118</v>
      </c>
      <c r="D7" t="s" s="21">
        <v>122</v>
      </c>
      <c r="E7" s="35"/>
    </row>
    <row r="8" ht="13.55" customHeight="1">
      <c r="A8" t="s" s="21">
        <v>123</v>
      </c>
      <c r="B8" t="s" s="21">
        <v>124</v>
      </c>
      <c r="C8" t="s" s="37">
        <v>125</v>
      </c>
      <c r="D8" t="s" s="21">
        <v>126</v>
      </c>
      <c r="E8" s="35"/>
    </row>
    <row r="9" ht="13.55" customHeight="1">
      <c r="A9" t="s" s="21">
        <v>127</v>
      </c>
      <c r="B9" t="s" s="21">
        <v>128</v>
      </c>
      <c r="C9" t="s" s="37">
        <v>125</v>
      </c>
      <c r="D9" t="s" s="21">
        <v>129</v>
      </c>
      <c r="E9" s="35"/>
    </row>
    <row r="10" ht="13.55" customHeight="1">
      <c r="A10" t="s" s="21">
        <v>130</v>
      </c>
      <c r="B10" t="s" s="21">
        <v>131</v>
      </c>
      <c r="C10" t="s" s="37">
        <v>125</v>
      </c>
      <c r="D10" t="s" s="21">
        <v>132</v>
      </c>
      <c r="E10" s="35"/>
    </row>
    <row r="11" ht="13.55" customHeight="1">
      <c r="A11" s="25"/>
      <c r="B11" s="25"/>
      <c r="C11" s="25"/>
      <c r="D11" s="25"/>
      <c r="E11" s="8"/>
    </row>
    <row r="12" ht="13.55" customHeight="1">
      <c r="A12" s="8"/>
      <c r="B12" s="8"/>
      <c r="C12" s="8"/>
      <c r="D12" s="8"/>
      <c r="E12" s="8"/>
    </row>
    <row r="13" ht="13.55" customHeight="1">
      <c r="A13" t="s" s="11">
        <v>133</v>
      </c>
      <c r="B13" s="8"/>
      <c r="C13" t="s" s="38">
        <v>134</v>
      </c>
      <c r="D13" s="8"/>
      <c r="E13" s="8"/>
    </row>
  </sheetData>
  <mergeCells count="1">
    <mergeCell ref="A1:D1"/>
  </mergeCells>
  <pageMargins left="0.75" right="0.75" top="1" bottom="1" header="0.5" footer="0.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