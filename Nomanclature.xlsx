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iste du Matériel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<sst xmlns="http://schemas.openxmlformats.org/spreadsheetml/2006/main" uniqueCount="49">
  <si>
    <t>NOMANCLATURE - PROJET CERBÈRE</t>
  </si>
  <si>
    <t>Système de Contrôle d'Accès Intelligent - Liste du Matériel</t>
  </si>
  <si>
    <t>BTS CIEL Option IR - Lycée Joseph Gaillard - Session 2026</t>
  </si>
  <si>
    <t>Date:</t>
  </si>
  <si>
    <t>16/12/2025</t>
  </si>
  <si>
    <t>Budget maximal:</t>
  </si>
  <si>
    <t>500 €</t>
  </si>
  <si>
    <t>N°</t>
  </si>
  <si>
    <t>Désignation</t>
  </si>
  <si>
    <t>Qté</t>
  </si>
  <si>
    <t>Prix Unit. (€)</t>
  </si>
  <si>
    <t>Total (€)</t>
  </si>
  <si>
    <t>Fournisseur</t>
  </si>
  <si>
    <t>Lien / Référence</t>
  </si>
  <si>
    <t>MICROCONTRÔLEURS &amp; CARTES</t>
  </si>
  <si>
    <t>Raspberry Pi 4 Model B (4GB RAM)</t>
  </si>
  <si>
    <t>LDLC</t>
  </si>
  <si>
    <r>
      <rPr>
        <u val="single"/>
        <sz val="11"/>
        <color indexed="14"/>
        <rFont val="Calibri"/>
      </rPr>
      <t>https://www.ldlc.pro/fiche/PB00273916.html</t>
    </r>
  </si>
  <si>
    <t>Carte microSD 64GB (Classe 10)</t>
  </si>
  <si>
    <r>
      <rPr>
        <u val="single"/>
        <sz val="11"/>
        <color indexed="14"/>
        <rFont val="Calibri"/>
      </rPr>
      <t>https://www.ldlc.pro/fiche/PB00511490.html</t>
    </r>
  </si>
  <si>
    <t>Alimentation USB-C 5V/3A (Pi 4)</t>
  </si>
  <si>
    <r>
      <rPr>
        <u val="single"/>
        <sz val="11"/>
        <color indexed="14"/>
        <rFont val="Calibri"/>
      </rPr>
      <t>https://www.ldlc.pro/fiche/PB00273953.html</t>
    </r>
  </si>
  <si>
    <t>CAPTEURS &amp; MODULES</t>
  </si>
  <si>
    <t>Module RFID RC522 (13.56 MHz) + badges</t>
  </si>
  <si>
    <t>Amazon</t>
  </si>
  <si>
    <r>
      <rPr>
        <u val="single"/>
        <sz val="11"/>
        <color indexed="14"/>
        <rFont val="Calibri"/>
      </rPr>
      <t>https://www.amazon.fr/AZDelivery-lecteur-Arduino-Raspberry-d%C3%A9marrage/dp/B01M28JAAZ?th=1</t>
    </r>
  </si>
  <si>
    <t>Badges RFID supplémentaires (lot de 10)</t>
  </si>
  <si>
    <r>
      <rPr>
        <u val="single"/>
        <sz val="11"/>
        <color indexed="14"/>
        <rFont val="Calibri"/>
      </rPr>
      <t>https://www.amazon.fr/Yarongtech-MIFARE-Classic%C2%AE-Tag-MHz/dp/B07MMVMRYW?th=1</t>
    </r>
  </si>
  <si>
    <t>Capteur PIR HC-SR501</t>
  </si>
  <si>
    <r>
      <rPr>
        <u val="single"/>
        <sz val="11"/>
        <color indexed="14"/>
        <rFont val="Calibri"/>
      </rPr>
      <t>https://www.amazon.fr/AZDelivery-HC-SR501-ultrasons-T%C3%A9l%C3%A9m%C3%A8tre-Raspberry/dp/B07V6BY66P?th=1</t>
    </r>
  </si>
  <si>
    <t>Caméra Raspberry Pi v2 (8MP)</t>
  </si>
  <si>
    <t>Kubii</t>
  </si>
  <si>
    <r>
      <rPr>
        <u val="single"/>
        <sz val="11"/>
        <color indexed="14"/>
        <rFont val="Calibri"/>
      </rPr>
      <t>https://www.kubii.com/fr/cameras-capteurs/1653-module-camera-v2-8mp-kubii-652508442112.html?srsltid=AfmBOoo2u9UVACV58IaZ5DxkcrIcY_1pY9oRi6snMKTUYHG2pxxg4aGe</t>
    </r>
  </si>
  <si>
    <t>Nappe caméra 50cm</t>
  </si>
  <si>
    <t>kubi</t>
  </si>
  <si>
    <r>
      <rPr>
        <u val="single"/>
        <sz val="11"/>
        <color indexed="14"/>
        <rFont val="Calibri"/>
      </rPr>
      <t>https://www.kubii.com/fr/nappes-cables-adaptateurs/4116-1861-nappe-csi-mipi-camera-pour-raspberry-pi-5-3272496316669.html?srsltid=AfmBOopBb7anLQvrU4FbGr4Hs0K59W_NUWIT18nJ9sVFId3QIDh5kg1_AfI#/dimensions-500mm_x_16mm_8_x_06</t>
    </r>
  </si>
  <si>
    <t>ACTIONNEURS &amp; ÉLECTROMÉCANIQUE</t>
  </si>
  <si>
    <t>Gâche électrique 12V (fail-secure)</t>
  </si>
  <si>
    <r>
      <rPr>
        <u val="single"/>
        <sz val="11"/>
        <color indexed="14"/>
        <rFont val="Calibri"/>
      </rPr>
      <t>https://www.amazon.fr/Miratic-Asym%C3%A9trique-Alimentation-Installation-verrouillage/dp/B0CVLC5C45?source=ps-sl-shoppingads-lpcontext&amp;ref_=fplfs&amp;th=1</t>
    </r>
  </si>
  <si>
    <t>Ventouse magnétique 12V (180kg)</t>
  </si>
  <si>
    <r>
      <rPr>
        <u val="single"/>
        <sz val="11"/>
        <color indexed="14"/>
        <rFont val="Calibri"/>
      </rPr>
      <t>https://www.amazon.fr/Ventouse-Magn%C3%A9tique-Largeur-KLOSE-BESSER/dp/B0757K3W2K?source=ps-sl-shoppingads-lpcontext&amp;ref_=fplfs&amp;psc=1&amp;smid=A118LGTXBX3K66</t>
    </r>
  </si>
  <si>
    <t>Module relais 2 canaux 5V</t>
  </si>
  <si>
    <r>
      <rPr>
        <u val="single"/>
        <sz val="11"/>
        <color indexed="14"/>
        <rFont val="Calibri"/>
      </rPr>
      <t>https://www.amazon.fr/Yizhet-Channel-relay-Bouclier-contr%C3%B4le-Optocoupleur/dp/B07GXC4FGP?source=ps-sl-shoppingads-lpcontext&amp;ref_=fplfs&amp;smid=A3TLLLI5S89H64&amp;th=1</t>
    </r>
  </si>
  <si>
    <t>Buzzer actif 5V</t>
  </si>
  <si>
    <r>
      <rPr>
        <u val="single"/>
        <sz val="11"/>
        <color indexed="14"/>
        <rFont val="Calibri"/>
      </rPr>
      <t>https://www.amazon.fr/Alarme-Buzzer-actif-oscillateur-int%C3%A9gr%C3%A9/dp/B0D96485YK</t>
    </r>
  </si>
  <si>
    <t>TOTAL GÉNÉRAL (HT)</t>
  </si>
  <si>
    <t>Budget disponible / Écart</t>
  </si>
  <si>
    <t>NOTES ET REMARQUES :</t>
  </si>
  <si>
    <t>• Les prix indiqués sont approximatifs et peuvent varier selon les fournisseurs et promotions.</t>
  </si>
</sst>
</file>

<file path=xl/styles.xml><?xml version="1.0" encoding="utf-8"?>
<styleSheet xmlns="http://schemas.openxmlformats.org/spreadsheetml/2006/main">
  <numFmts count="1">
    <numFmt numFmtId="0" formatCode="General"/>
  </numFmts>
  <fonts count="1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Calibri"/>
    </font>
    <font>
      <i val="1"/>
      <sz val="12"/>
      <color indexed="9"/>
      <name val="Calibri"/>
    </font>
    <font>
      <i val="1"/>
      <sz val="10"/>
      <color indexed="8"/>
      <name val="Calibri"/>
    </font>
    <font>
      <b val="1"/>
      <sz val="11"/>
      <color indexed="8"/>
      <name val="Calibri"/>
    </font>
    <font>
      <b val="1"/>
      <sz val="11"/>
      <color indexed="12"/>
      <name val="Calibri"/>
    </font>
    <font>
      <b val="1"/>
      <sz val="12"/>
      <color indexed="10"/>
      <name val="Calibri"/>
    </font>
    <font>
      <b val="1"/>
      <sz val="11"/>
      <color indexed="10"/>
      <name val="Calibri"/>
    </font>
    <font>
      <u val="single"/>
      <sz val="11"/>
      <color indexed="14"/>
      <name val="Calibri"/>
    </font>
    <font>
      <b val="1"/>
      <sz val="12"/>
      <color indexed="8"/>
      <name val="Calibri"/>
    </font>
    <font>
      <b val="1"/>
      <sz val="11"/>
      <color indexed="9"/>
      <name val="Calibri"/>
    </font>
    <font>
      <sz val="10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borderId="1" applyNumberFormat="0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5" fillId="2" borderId="1" applyNumberFormat="1" applyFont="1" applyFill="1" applyBorder="1" applyAlignment="1" applyProtection="0">
      <alignment horizontal="center" vertical="center" wrapText="1"/>
    </xf>
    <xf numFmtId="49" fontId="6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7" borderId="1" applyNumberFormat="1" applyFont="1" applyFill="0" applyBorder="1" applyAlignment="1" applyProtection="0">
      <alignment vertical="bottom"/>
    </xf>
    <xf numFmtId="0" fontId="6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8" fillId="3" borderId="3" applyNumberFormat="1" applyFont="1" applyFill="1" applyBorder="1" applyAlignment="1" applyProtection="0">
      <alignment horizontal="center" vertical="center" wrapText="1"/>
    </xf>
    <xf numFmtId="49" fontId="9" fillId="4" borderId="3" applyNumberFormat="1" applyFont="1" applyFill="1" applyBorder="1" applyAlignment="1" applyProtection="0">
      <alignment horizontal="left" vertical="center" wrapText="1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horizontal="center" vertical="center" wrapText="1"/>
    </xf>
    <xf numFmtId="49" fontId="0" fillId="2" borderId="3" applyNumberFormat="1" applyFont="1" applyFill="1" applyBorder="1" applyAlignment="1" applyProtection="0">
      <alignment horizontal="left" vertical="center" wrapText="1"/>
    </xf>
    <xf numFmtId="1" fontId="0" fillId="2" borderId="3" applyNumberFormat="1" applyFont="1" applyFill="1" applyBorder="1" applyAlignment="1" applyProtection="0">
      <alignment horizontal="right" vertical="center"/>
    </xf>
    <xf numFmtId="49" fontId="11" fillId="5" borderId="3" applyNumberFormat="1" applyFont="1" applyFill="1" applyBorder="1" applyAlignment="1" applyProtection="0">
      <alignment horizontal="right" vertical="center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1" fontId="11" fillId="5" borderId="3" applyNumberFormat="1" applyFont="1" applyFill="1" applyBorder="1" applyAlignment="1" applyProtection="0">
      <alignment horizontal="right" vertical="center"/>
    </xf>
    <xf numFmtId="0" fontId="0" fillId="5" borderId="3" applyNumberFormat="0" applyFont="1" applyFill="1" applyBorder="1" applyAlignment="1" applyProtection="0">
      <alignment vertical="bottom"/>
    </xf>
    <xf numFmtId="49" fontId="6" fillId="2" borderId="7" applyNumberFormat="1" applyFont="1" applyFill="1" applyBorder="1" applyAlignment="1" applyProtection="0">
      <alignment horizontal="right" vertical="center"/>
    </xf>
    <xf numFmtId="1" fontId="7" fillId="2" borderId="7" applyNumberFormat="1" applyFont="1" applyFill="1" applyBorder="1" applyAlignment="1" applyProtection="0">
      <alignment horizontal="right" vertical="center"/>
    </xf>
    <xf numFmtId="49" fontId="12" borderId="1" applyNumberFormat="1" applyFont="1" applyFill="0" applyBorder="1" applyAlignment="1" applyProtection="0">
      <alignment vertical="bottom"/>
    </xf>
    <xf numFmtId="49" fontId="13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4e78"/>
      <rgbColor rgb="ffffffff"/>
      <rgbColor rgb="ffaaaaaa"/>
      <rgbColor rgb="ffc00000"/>
      <rgbColor rgb="ff4472c4"/>
      <rgbColor rgb="ff0000ff"/>
      <rgbColor rgb="ffffc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dlc.pro/fiche/PB00273916.html" TargetMode="External"/><Relationship Id="rId2" Type="http://schemas.openxmlformats.org/officeDocument/2006/relationships/hyperlink" Target="https://www.ldlc.pro/fiche/PB00511490.html" TargetMode="External"/><Relationship Id="rId3" Type="http://schemas.openxmlformats.org/officeDocument/2006/relationships/hyperlink" Target="https://www.ldlc.pro/fiche/PB00273953.html" TargetMode="External"/><Relationship Id="rId4" Type="http://schemas.openxmlformats.org/officeDocument/2006/relationships/hyperlink" Target="https://www.amazon.fr/AZDelivery-lecteur-Arduino-Raspberry-d%C3%A9marrage/dp/B01M28JAAZ?th=1" TargetMode="External"/><Relationship Id="rId5" Type="http://schemas.openxmlformats.org/officeDocument/2006/relationships/hyperlink" Target="https://www.amazon.fr/Yarongtech-MIFARE-Classic%C2%AE-Tag-MHz/dp/B07MMVMRYW?th=1" TargetMode="External"/><Relationship Id="rId6" Type="http://schemas.openxmlformats.org/officeDocument/2006/relationships/hyperlink" Target="https://www.amazon.fr/AZDelivery-HC-SR501-ultrasons-T%C3%A9l%C3%A9m%C3%A8tre-Raspberry/dp/B07V6BY66P?th=1" TargetMode="External"/><Relationship Id="rId7" Type="http://schemas.openxmlformats.org/officeDocument/2006/relationships/hyperlink" Target="https://www.kubii.com/fr/cameras-capteurs/1653-module-camera-v2-8mp-kubii-652508442112.html?srsltid=AfmBOoo2u9UVACV58IaZ5DxkcrIcY_1pY9oRi6snMKTUYHG2pxxg4aGe" TargetMode="External"/><Relationship Id="rId8" Type="http://schemas.openxmlformats.org/officeDocument/2006/relationships/hyperlink" Target="https://www.kubii.com/fr/nappes-cables-adaptateurs/4116-1861-nappe-csi-mipi-camera-pour-raspberry-pi-5-3272496316669.html?srsltid=AfmBOopBb7anLQvrU4FbGr4Hs0K59W_NUWIT18nJ9sVFId3QIDh5kg1_AfI#/dimensions-500mm_x_16mm_8_x_06" TargetMode="External"/><Relationship Id="rId9" Type="http://schemas.openxmlformats.org/officeDocument/2006/relationships/hyperlink" Target="https://www.amazon.fr/Miratic-Asym%C3%A9trique-Alimentation-Installation-verrouillage/dp/B0CVLC5C45?source=ps-sl-shoppingads-lpcontext&amp;ref_=fplfs&amp;th=1" TargetMode="External"/><Relationship Id="rId10" Type="http://schemas.openxmlformats.org/officeDocument/2006/relationships/hyperlink" Target="https://www.amazon.fr/Ventouse-Magn%C3%A9tique-Largeur-KLOSE-BESSER/dp/B0757K3W2K?source=ps-sl-shoppingads-lpcontext&amp;ref_=fplfs&amp;psc=1&amp;smid=A118LGTXBX3K66" TargetMode="External"/><Relationship Id="rId11" Type="http://schemas.openxmlformats.org/officeDocument/2006/relationships/hyperlink" Target="https://www.amazon.fr/Yizhet-Channel-relay-Bouclier-contr%C3%B4le-Optocoupleur/dp/B07GXC4FGP?source=ps-sl-shoppingads-lpcontext&amp;ref_=fplfs&amp;smid=A3TLLLI5S89H64&amp;th=1" TargetMode="External"/><Relationship Id="rId12" Type="http://schemas.openxmlformats.org/officeDocument/2006/relationships/hyperlink" Target="https://www.amazon.fr/Alarme-Buzzer-actif-oscillateur-int%C3%A9gr%C3%A9/dp/B0D96485YK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29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1" customWidth="1"/>
    <col min="2" max="2" width="45" style="1" customWidth="1"/>
    <col min="3" max="5" width="15" style="1" customWidth="1"/>
    <col min="6" max="6" width="20" style="1" customWidth="1"/>
    <col min="7" max="7" width="50" style="1" customWidth="1"/>
    <col min="8" max="16384" width="8.85156" style="1" customWidth="1"/>
  </cols>
  <sheetData>
    <row r="1" ht="19.45" customHeight="1">
      <c r="A1" t="s" s="2">
        <v>0</v>
      </c>
      <c r="B1" s="3"/>
      <c r="C1" s="3"/>
      <c r="D1" s="3"/>
      <c r="E1" s="3"/>
      <c r="F1" s="3"/>
      <c r="G1" s="3"/>
    </row>
    <row r="2" ht="15.35" customHeight="1">
      <c r="A2" t="s" s="4">
        <v>1</v>
      </c>
      <c r="B2" s="3"/>
      <c r="C2" s="3"/>
      <c r="D2" s="3"/>
      <c r="E2" s="3"/>
      <c r="F2" s="3"/>
      <c r="G2" s="3"/>
    </row>
    <row r="3" ht="13.75" customHeight="1">
      <c r="A3" t="s" s="5">
        <v>2</v>
      </c>
      <c r="B3" s="3"/>
      <c r="C3" s="3"/>
      <c r="D3" s="3"/>
      <c r="E3" s="3"/>
      <c r="F3" s="3"/>
      <c r="G3" s="3"/>
    </row>
    <row r="4" ht="13.55" customHeight="1">
      <c r="A4" s="3"/>
      <c r="B4" s="3"/>
      <c r="C4" s="3"/>
      <c r="D4" s="3"/>
      <c r="E4" s="3"/>
      <c r="F4" s="3"/>
      <c r="G4" s="3"/>
    </row>
    <row r="5" ht="13.55" customHeight="1">
      <c r="A5" t="s" s="6">
        <v>3</v>
      </c>
      <c r="B5" t="s" s="7">
        <v>4</v>
      </c>
      <c r="C5" s="3"/>
      <c r="D5" t="s" s="6">
        <v>5</v>
      </c>
      <c r="E5" t="s" s="8">
        <v>6</v>
      </c>
      <c r="F5" s="3"/>
      <c r="G5" s="3"/>
    </row>
    <row r="6" ht="13.55" customHeight="1">
      <c r="A6" s="9"/>
      <c r="B6" s="3"/>
      <c r="C6" s="3"/>
      <c r="D6" s="3"/>
      <c r="E6" s="3"/>
      <c r="F6" s="3"/>
      <c r="G6" s="3"/>
    </row>
    <row r="7" ht="13.55" customHeight="1">
      <c r="A7" s="10"/>
      <c r="B7" s="10"/>
      <c r="C7" s="10"/>
      <c r="D7" s="10"/>
      <c r="E7" s="10"/>
      <c r="F7" s="10"/>
      <c r="G7" s="10"/>
    </row>
    <row r="8" ht="15.35" customHeight="1">
      <c r="A8" t="s" s="11">
        <v>7</v>
      </c>
      <c r="B8" t="s" s="11">
        <v>8</v>
      </c>
      <c r="C8" t="s" s="11">
        <v>9</v>
      </c>
      <c r="D8" t="s" s="11">
        <v>10</v>
      </c>
      <c r="E8" t="s" s="11">
        <v>11</v>
      </c>
      <c r="F8" t="s" s="11">
        <v>12</v>
      </c>
      <c r="G8" t="s" s="11">
        <v>13</v>
      </c>
    </row>
    <row r="9" ht="13.55" customHeight="1">
      <c r="A9" t="s" s="12">
        <v>14</v>
      </c>
      <c r="B9" s="13"/>
      <c r="C9" s="14"/>
      <c r="D9" s="14"/>
      <c r="E9" s="14"/>
      <c r="F9" s="14"/>
      <c r="G9" s="14"/>
    </row>
    <row r="10" ht="13.55" customHeight="1">
      <c r="A10" s="15">
        <v>1</v>
      </c>
      <c r="B10" t="s" s="16">
        <v>15</v>
      </c>
      <c r="C10" s="15">
        <v>3</v>
      </c>
      <c r="D10" s="17">
        <v>83.29000000000001</v>
      </c>
      <c r="E10" s="17" cm="1">
        <f t="array" ref="E10">C10*D10</f>
        <v>249.87</v>
      </c>
      <c r="F10" t="s" s="16">
        <v>16</v>
      </c>
      <c r="G10" t="s" s="16">
        <v>17</v>
      </c>
    </row>
    <row r="11" ht="13.55" customHeight="1">
      <c r="A11" s="15">
        <v>2</v>
      </c>
      <c r="B11" t="s" s="16">
        <v>18</v>
      </c>
      <c r="C11" s="15">
        <v>3</v>
      </c>
      <c r="D11" s="17">
        <v>17.29</v>
      </c>
      <c r="E11" s="17" cm="1">
        <f t="array" ref="E11">C11*D11</f>
        <v>51.87</v>
      </c>
      <c r="F11" t="s" s="16">
        <v>16</v>
      </c>
      <c r="G11" t="s" s="16">
        <v>19</v>
      </c>
    </row>
    <row r="12" ht="13.55" customHeight="1">
      <c r="A12" s="15">
        <v>3</v>
      </c>
      <c r="B12" t="s" s="16">
        <v>20</v>
      </c>
      <c r="C12" s="15">
        <v>3</v>
      </c>
      <c r="D12" s="17">
        <v>10.42</v>
      </c>
      <c r="E12" s="17">
        <v>30</v>
      </c>
      <c r="F12" t="s" s="16">
        <v>16</v>
      </c>
      <c r="G12" t="s" s="16">
        <v>21</v>
      </c>
    </row>
    <row r="13" ht="13.55" customHeight="1">
      <c r="A13" t="s" s="12">
        <v>22</v>
      </c>
      <c r="B13" s="13"/>
      <c r="C13" s="14"/>
      <c r="D13" s="14"/>
      <c r="E13" s="14"/>
      <c r="F13" s="14"/>
      <c r="G13" s="14"/>
    </row>
    <row r="14" ht="26.55" customHeight="1">
      <c r="A14" s="15">
        <v>6</v>
      </c>
      <c r="B14" t="s" s="16">
        <v>23</v>
      </c>
      <c r="C14" s="15">
        <v>1</v>
      </c>
      <c r="D14" s="17">
        <v>7.49</v>
      </c>
      <c r="E14" s="17">
        <v>7.49</v>
      </c>
      <c r="F14" t="s" s="16">
        <v>24</v>
      </c>
      <c r="G14" t="s" s="16">
        <v>25</v>
      </c>
    </row>
    <row r="15" ht="26.55" customHeight="1">
      <c r="A15" s="15">
        <v>7</v>
      </c>
      <c r="B15" t="s" s="16">
        <v>26</v>
      </c>
      <c r="C15" s="15">
        <v>1</v>
      </c>
      <c r="D15" s="17">
        <v>7.84</v>
      </c>
      <c r="E15" s="17">
        <v>7.84</v>
      </c>
      <c r="F15" t="s" s="16">
        <v>24</v>
      </c>
      <c r="G15" t="s" s="16">
        <v>27</v>
      </c>
    </row>
    <row r="16" ht="39.55" customHeight="1">
      <c r="A16" s="15">
        <v>8</v>
      </c>
      <c r="B16" t="s" s="16">
        <v>28</v>
      </c>
      <c r="C16" s="15">
        <v>1</v>
      </c>
      <c r="D16" s="17">
        <v>8</v>
      </c>
      <c r="E16" s="17">
        <v>8</v>
      </c>
      <c r="F16" t="s" s="16">
        <v>24</v>
      </c>
      <c r="G16" t="s" s="16">
        <v>29</v>
      </c>
    </row>
    <row r="17" ht="52.55" customHeight="1">
      <c r="A17" s="15">
        <v>9</v>
      </c>
      <c r="B17" t="s" s="16">
        <v>30</v>
      </c>
      <c r="C17" s="15">
        <v>1</v>
      </c>
      <c r="D17" s="17">
        <v>18.3</v>
      </c>
      <c r="E17" s="17">
        <v>18.3</v>
      </c>
      <c r="F17" t="s" s="16">
        <v>31</v>
      </c>
      <c r="G17" t="s" s="16">
        <v>32</v>
      </c>
    </row>
    <row r="18" ht="65.55" customHeight="1">
      <c r="A18" s="15">
        <v>10</v>
      </c>
      <c r="B18" t="s" s="16">
        <v>33</v>
      </c>
      <c r="C18" s="15">
        <v>1</v>
      </c>
      <c r="D18" s="17">
        <v>3.72</v>
      </c>
      <c r="E18" s="17">
        <v>3.72</v>
      </c>
      <c r="F18" t="s" s="16">
        <v>34</v>
      </c>
      <c r="G18" t="s" s="16">
        <v>35</v>
      </c>
    </row>
    <row r="19" ht="13.55" customHeight="1">
      <c r="A19" t="s" s="12">
        <v>36</v>
      </c>
      <c r="B19" s="13"/>
      <c r="C19" s="14"/>
      <c r="D19" s="14"/>
      <c r="E19" s="14"/>
      <c r="F19" s="14"/>
      <c r="G19" s="14"/>
    </row>
    <row r="20" ht="39.55" customHeight="1">
      <c r="A20" s="15">
        <v>11</v>
      </c>
      <c r="B20" t="s" s="16">
        <v>37</v>
      </c>
      <c r="C20" s="15">
        <v>1</v>
      </c>
      <c r="D20" s="17">
        <v>16.85</v>
      </c>
      <c r="E20" s="17">
        <v>16.85</v>
      </c>
      <c r="F20" t="s" s="16">
        <v>24</v>
      </c>
      <c r="G20" t="s" s="16">
        <v>38</v>
      </c>
    </row>
    <row r="21" ht="39.55" customHeight="1">
      <c r="A21" s="15">
        <v>12</v>
      </c>
      <c r="B21" t="s" s="16">
        <v>39</v>
      </c>
      <c r="C21" s="15">
        <v>1</v>
      </c>
      <c r="D21" s="17">
        <v>43.2</v>
      </c>
      <c r="E21" s="17">
        <v>43.2</v>
      </c>
      <c r="F21" t="s" s="16">
        <v>24</v>
      </c>
      <c r="G21" t="s" s="16">
        <v>40</v>
      </c>
    </row>
    <row r="22" ht="39.55" customHeight="1">
      <c r="A22" s="15">
        <v>13</v>
      </c>
      <c r="B22" t="s" s="16">
        <v>41</v>
      </c>
      <c r="C22" s="15">
        <v>2</v>
      </c>
      <c r="D22" s="17">
        <v>8</v>
      </c>
      <c r="E22" s="17">
        <v>16</v>
      </c>
      <c r="F22" t="s" s="16">
        <v>24</v>
      </c>
      <c r="G22" t="s" s="16">
        <v>42</v>
      </c>
    </row>
    <row r="23" ht="26.55" customHeight="1">
      <c r="A23" s="15">
        <v>14</v>
      </c>
      <c r="B23" t="s" s="16">
        <v>43</v>
      </c>
      <c r="C23" s="15">
        <v>1</v>
      </c>
      <c r="D23" s="17">
        <v>2</v>
      </c>
      <c r="E23" s="17">
        <v>2</v>
      </c>
      <c r="F23" t="s" s="16">
        <v>24</v>
      </c>
      <c r="G23" t="s" s="16">
        <v>44</v>
      </c>
    </row>
    <row r="24" ht="15.35" customHeight="1">
      <c r="A24" t="s" s="18">
        <v>45</v>
      </c>
      <c r="B24" s="19"/>
      <c r="C24" s="20"/>
      <c r="D24" s="21"/>
      <c r="E24" s="22" cm="1">
        <f t="array" ref="E24">SUM(E10:E23)</f>
        <v>455.14</v>
      </c>
      <c r="F24" s="23"/>
      <c r="G24" s="23"/>
    </row>
    <row r="25" ht="13.55" customHeight="1">
      <c r="A25" t="s" s="24">
        <v>46</v>
      </c>
      <c r="B25" s="3"/>
      <c r="C25" s="3"/>
      <c r="D25" s="3"/>
      <c r="E25" s="25" cm="1">
        <f t="array" ref="E25">500-E24</f>
        <v>44.86</v>
      </c>
      <c r="F25" s="20"/>
      <c r="G25" s="20"/>
    </row>
    <row r="26" ht="13.55" customHeight="1">
      <c r="A26" s="3"/>
      <c r="B26" s="3"/>
      <c r="C26" s="3"/>
      <c r="D26" s="3"/>
      <c r="E26" s="3"/>
      <c r="F26" s="3"/>
      <c r="G26" s="3"/>
    </row>
    <row r="27" ht="13.55" customHeight="1">
      <c r="A27" s="3"/>
      <c r="B27" s="3"/>
      <c r="C27" s="3"/>
      <c r="D27" s="3"/>
      <c r="E27" s="3"/>
      <c r="F27" s="3"/>
      <c r="G27" s="3"/>
    </row>
    <row r="28" ht="13.55" customHeight="1">
      <c r="A28" t="s" s="26">
        <v>47</v>
      </c>
      <c r="B28" s="3"/>
      <c r="C28" s="3"/>
      <c r="D28" s="3"/>
      <c r="E28" s="3"/>
      <c r="F28" s="3"/>
      <c r="G28" s="3"/>
    </row>
    <row r="29" ht="13.75" customHeight="1">
      <c r="A29" t="s" s="27">
        <v>48</v>
      </c>
      <c r="B29" s="3"/>
      <c r="C29" s="3"/>
      <c r="D29" s="3"/>
      <c r="E29" s="3"/>
      <c r="F29" s="3"/>
      <c r="G29" s="3"/>
    </row>
  </sheetData>
  <mergeCells count="9">
    <mergeCell ref="A9:G9"/>
    <mergeCell ref="A13:G13"/>
    <mergeCell ref="A29:G29"/>
    <mergeCell ref="A1:G1"/>
    <mergeCell ref="A24:D24"/>
    <mergeCell ref="A3:G3"/>
    <mergeCell ref="A19:G19"/>
    <mergeCell ref="A2:G2"/>
    <mergeCell ref="A25:D25"/>
  </mergeCells>
  <hyperlinks>
    <hyperlink ref="G10" r:id="rId1" location="" tooltip="" display="https://www.ldlc.pro/fiche/PB00273916.html"/>
    <hyperlink ref="G11" r:id="rId2" location="" tooltip="" display="https://www.ldlc.pro/fiche/PB00511490.html"/>
    <hyperlink ref="G12" r:id="rId3" location="" tooltip="" display="https://www.ldlc.pro/fiche/PB00273953.html"/>
    <hyperlink ref="G14" r:id="rId4" location="" tooltip="" display="https://www.amazon.fr/AZDelivery-lecteur-Arduino-Raspberry-d%C3%A9marrage/dp/B01M28JAAZ?th=1"/>
    <hyperlink ref="G15" r:id="rId5" location="" tooltip="" display="https://www.amazon.fr/Yarongtech-MIFARE-Classic%C2%AE-Tag-MHz/dp/B07MMVMRYW?th=1"/>
    <hyperlink ref="G16" r:id="rId6" location="" tooltip="" display="https://www.amazon.fr/AZDelivery-HC-SR501-ultrasons-T%C3%A9l%C3%A9m%C3%A8tre-Raspberry/dp/B07V6BY66P?th=1"/>
    <hyperlink ref="G17" r:id="rId7" location="" tooltip="" display="https://www.kubii.com/fr/cameras-capteurs/1653-module-camera-v2-8mp-kubii-652508442112.html?srsltid=AfmBOoo2u9UVACV58IaZ5DxkcrIcY_1pY9oRi6snMKTUYHG2pxxg4aGe"/>
    <hyperlink ref="G18" r:id="rId8" location="" tooltip="" display="https://www.kubii.com/fr/nappes-cables-adaptateurs/4116-1861-nappe-csi-mipi-camera-pour-raspberry-pi-5-3272496316669.html?srsltid=AfmBOopBb7anLQvrU4FbGr4Hs0K59W_NUWIT18nJ9sVFId3QIDh5kg1_AfI#/dimensions-500mm_x_16mm_8_x_06"/>
    <hyperlink ref="G20" r:id="rId9" location="" tooltip="" display="https://www.amazon.fr/Miratic-Asym%C3%A9trique-Alimentation-Installation-verrouillage/dp/B0CVLC5C45?source=ps-sl-shoppingads-lpcontext&amp;ref_=fplfs&amp;th=1"/>
    <hyperlink ref="G21" r:id="rId10" location="" tooltip="" display="https://www.amazon.fr/Ventouse-Magn%C3%A9tique-Largeur-KLOSE-BESSER/dp/B0757K3W2K?source=ps-sl-shoppingads-lpcontext&amp;ref_=fplfs&amp;psc=1&amp;smid=A118LGTXBX3K66"/>
    <hyperlink ref="G22" r:id="rId11" location="" tooltip="" display="https://www.amazon.fr/Yizhet-Channel-relay-Bouclier-contr%C3%B4le-Optocoupleur/dp/B07GXC4FGP?source=ps-sl-shoppingads-lpcontext&amp;ref_=fplfs&amp;smid=A3TLLLI5S89H64&amp;th=1"/>
    <hyperlink ref="G23" r:id="rId12" location="" tooltip="" display="https://www.amazon.fr/Alarme-Buzzer-actif-oscillateur-int%C3%A9gr%C3%A9/dp/B0D96485YK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